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mc:AlternateContent xmlns:mc="http://schemas.openxmlformats.org/markup-compatibility/2006">
    <mc:Choice Requires="x15">
      <x15ac:absPath xmlns:x15ac="http://schemas.microsoft.com/office/spreadsheetml/2010/11/ac" url="https://didatec.sharepoint.com/sites/Teoriasistemelor-2CTI-2026/Class Materials/Prezenta si note/"/>
    </mc:Choice>
  </mc:AlternateContent>
  <xr:revisionPtr revIDLastSave="2585" documentId="13_ncr:1_{5F8A00A9-544A-4007-ACCA-C3C35A0B41AB}" xr6:coauthVersionLast="47" xr6:coauthVersionMax="47" xr10:uidLastSave="{03B86DE6-E51E-43F2-BE36-4DE730460CF1}"/>
  <bookViews>
    <workbookView xWindow="-108" yWindow="-108" windowWidth="23256" windowHeight="12456" firstSheet="2" activeTab="2" xr2:uid="{00000000-000D-0000-FFFF-FFFF00000000}"/>
  </bookViews>
  <sheets>
    <sheet name="stats_o" sheetId="21" state="hidden" r:id="rId1"/>
    <sheet name="aux_o" sheetId="22" state="hidden" r:id="rId2"/>
    <sheet name="an curent" sheetId="20" r:id="rId3"/>
  </sheets>
  <definedNames>
    <definedName name="_xlnm._FilterDatabase" localSheetId="2" hidden="1">'an curent'!$A$2:$AA$301</definedName>
    <definedName name="grupa">Table132[grupa]</definedName>
    <definedName name="nota">Table132[Nota]</definedName>
    <definedName name="notapartial">Table132[Partial]</definedName>
    <definedName name="semi">aux_o!$C$4:$C$23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0" i="20" l="1"/>
  <c r="W290" i="20" s="1"/>
  <c r="X290" i="20" s="1"/>
  <c r="M291" i="20"/>
  <c r="W291" i="20" s="1"/>
  <c r="X291" i="20" s="1"/>
  <c r="M292" i="20"/>
  <c r="W292" i="20" s="1"/>
  <c r="X292" i="20" s="1"/>
  <c r="M293" i="20"/>
  <c r="W293" i="20" s="1"/>
  <c r="X293" i="20" s="1"/>
  <c r="M294" i="20"/>
  <c r="M295" i="20"/>
  <c r="W295" i="20" s="1"/>
  <c r="X295" i="20" s="1"/>
  <c r="M296" i="20"/>
  <c r="W296" i="20" s="1"/>
  <c r="X296" i="20" s="1"/>
  <c r="M297" i="20"/>
  <c r="W297" i="20" s="1"/>
  <c r="X297" i="20" s="1"/>
  <c r="M298" i="20"/>
  <c r="W298" i="20" s="1"/>
  <c r="X298" i="20" s="1"/>
  <c r="M299" i="20"/>
  <c r="W299" i="20" s="1"/>
  <c r="X299" i="20" s="1"/>
  <c r="M300" i="20"/>
  <c r="W300" i="20" s="1"/>
  <c r="X300" i="20" s="1"/>
  <c r="M301" i="20"/>
  <c r="W301" i="20" s="1"/>
  <c r="X301" i="20" s="1"/>
  <c r="W294" i="20"/>
  <c r="X294" i="20" s="1"/>
  <c r="M259" i="20"/>
  <c r="W259" i="20" s="1"/>
  <c r="X259" i="20" s="1"/>
  <c r="M260" i="20"/>
  <c r="W260" i="20" s="1"/>
  <c r="X260" i="20" s="1"/>
  <c r="M258" i="20"/>
  <c r="W258" i="20" s="1"/>
  <c r="X258" i="20" s="1"/>
  <c r="M261" i="20"/>
  <c r="W261" i="20" s="1"/>
  <c r="X261" i="20" s="1"/>
  <c r="M257" i="20"/>
  <c r="W257" i="20" s="1"/>
  <c r="X257" i="20" s="1"/>
  <c r="M262" i="20"/>
  <c r="W262" i="20" s="1"/>
  <c r="X262" i="20" s="1"/>
  <c r="M228" i="20"/>
  <c r="W228" i="20" s="1"/>
  <c r="X228" i="20" s="1"/>
  <c r="M230" i="20"/>
  <c r="W230" i="20" s="1"/>
  <c r="X230" i="20" s="1"/>
  <c r="M231" i="20"/>
  <c r="W231" i="20" s="1"/>
  <c r="X231" i="20" s="1"/>
  <c r="M232" i="20"/>
  <c r="W232" i="20" s="1"/>
  <c r="X232" i="20" s="1"/>
  <c r="M233" i="20"/>
  <c r="W233" i="20" s="1"/>
  <c r="X233" i="20" s="1"/>
  <c r="M229" i="20"/>
  <c r="W229" i="20" s="1"/>
  <c r="X229" i="20" s="1"/>
  <c r="M234" i="20"/>
  <c r="W234" i="20" s="1"/>
  <c r="X234" i="20" s="1"/>
  <c r="M235" i="20"/>
  <c r="W235" i="20" s="1"/>
  <c r="X235" i="20" s="1"/>
  <c r="M198" i="20"/>
  <c r="W198" i="20" s="1"/>
  <c r="X198" i="20" s="1"/>
  <c r="M172" i="20"/>
  <c r="W172" i="20" s="1"/>
  <c r="X172" i="20" s="1"/>
  <c r="M171" i="20"/>
  <c r="W171" i="20" s="1"/>
  <c r="X171" i="20" s="1"/>
  <c r="M173" i="20"/>
  <c r="W173" i="20" s="1"/>
  <c r="X173" i="20" s="1"/>
  <c r="M145" i="20"/>
  <c r="W145" i="20" s="1"/>
  <c r="X145" i="20" s="1"/>
  <c r="M146" i="20"/>
  <c r="W146" i="20" s="1"/>
  <c r="X146" i="20" s="1"/>
  <c r="M144" i="20"/>
  <c r="W144" i="20" s="1"/>
  <c r="X144" i="20" s="1"/>
  <c r="M147" i="20"/>
  <c r="W147" i="20" s="1"/>
  <c r="X147" i="20" s="1"/>
  <c r="M117" i="20"/>
  <c r="W117" i="20" s="1"/>
  <c r="X117" i="20" s="1"/>
  <c r="M116" i="20"/>
  <c r="W116" i="20" s="1"/>
  <c r="X116" i="20" s="1"/>
  <c r="M118" i="20"/>
  <c r="W118" i="20" s="1"/>
  <c r="X118" i="20" s="1"/>
  <c r="M119" i="20"/>
  <c r="W119" i="20" s="1"/>
  <c r="X119" i="20" s="1"/>
  <c r="M120" i="20"/>
  <c r="W120" i="20" s="1"/>
  <c r="X120" i="20" s="1"/>
  <c r="M87" i="20"/>
  <c r="W87" i="20" s="1"/>
  <c r="X87" i="20" s="1"/>
  <c r="M88" i="20"/>
  <c r="W88" i="20" s="1"/>
  <c r="X88" i="20" s="1"/>
  <c r="M60" i="20"/>
  <c r="W60" i="20" s="1"/>
  <c r="X60" i="20" s="1"/>
  <c r="M61" i="20"/>
  <c r="W61" i="20" s="1"/>
  <c r="X61" i="20" s="1"/>
  <c r="M62" i="20"/>
  <c r="W62" i="20" s="1"/>
  <c r="X62" i="20" s="1"/>
  <c r="M30" i="20"/>
  <c r="W30" i="20" s="1"/>
  <c r="X30" i="20" s="1"/>
  <c r="M32" i="20"/>
  <c r="W32" i="20" s="1"/>
  <c r="X32" i="20" s="1"/>
  <c r="D37" i="21"/>
  <c r="D36" i="21"/>
  <c r="D35" i="21"/>
  <c r="D34" i="21"/>
  <c r="D33" i="21"/>
  <c r="D32" i="21"/>
  <c r="D31" i="21"/>
  <c r="D30" i="21"/>
  <c r="D29" i="21"/>
  <c r="D28" i="21"/>
  <c r="M289" i="20"/>
  <c r="W289" i="20" s="1"/>
  <c r="X289" i="20" s="1"/>
  <c r="M288" i="20"/>
  <c r="W288" i="20" s="1"/>
  <c r="X288" i="20" s="1"/>
  <c r="M287" i="20"/>
  <c r="W287" i="20" s="1"/>
  <c r="X287" i="20" s="1"/>
  <c r="M286" i="20"/>
  <c r="W286" i="20" s="1"/>
  <c r="X286" i="20" s="1"/>
  <c r="M285" i="20"/>
  <c r="W285" i="20" s="1"/>
  <c r="X285" i="20" s="1"/>
  <c r="M284" i="20"/>
  <c r="W284" i="20" s="1"/>
  <c r="X284" i="20" s="1"/>
  <c r="M283" i="20"/>
  <c r="W283" i="20" s="1"/>
  <c r="M282" i="20"/>
  <c r="W282" i="20" s="1"/>
  <c r="X282" i="20" s="1"/>
  <c r="M281" i="20"/>
  <c r="W281" i="20" s="1"/>
  <c r="X281" i="20" s="1"/>
  <c r="M280" i="20"/>
  <c r="W280" i="20" s="1"/>
  <c r="X280" i="20" s="1"/>
  <c r="M279" i="20"/>
  <c r="W279" i="20" s="1"/>
  <c r="X279" i="20" s="1"/>
  <c r="M278" i="20"/>
  <c r="W278" i="20" s="1"/>
  <c r="X278" i="20" s="1"/>
  <c r="M277" i="20"/>
  <c r="W277" i="20" s="1"/>
  <c r="X277" i="20" s="1"/>
  <c r="M276" i="20"/>
  <c r="W276" i="20" s="1"/>
  <c r="X276" i="20" s="1"/>
  <c r="M275" i="20"/>
  <c r="W275" i="20" s="1"/>
  <c r="M274" i="20"/>
  <c r="W274" i="20" s="1"/>
  <c r="X274" i="20" s="1"/>
  <c r="M273" i="20"/>
  <c r="W273" i="20" s="1"/>
  <c r="X273" i="20" s="1"/>
  <c r="M272" i="20"/>
  <c r="W272" i="20" s="1"/>
  <c r="X272" i="20" s="1"/>
  <c r="M271" i="20"/>
  <c r="W271" i="20" s="1"/>
  <c r="X271" i="20" s="1"/>
  <c r="M270" i="20"/>
  <c r="W270" i="20" s="1"/>
  <c r="X270" i="20" s="1"/>
  <c r="M269" i="20"/>
  <c r="W269" i="20" s="1"/>
  <c r="X269" i="20" s="1"/>
  <c r="M268" i="20"/>
  <c r="W268" i="20" s="1"/>
  <c r="X268" i="20" s="1"/>
  <c r="M267" i="20"/>
  <c r="W267" i="20" s="1"/>
  <c r="X267" i="20" s="1"/>
  <c r="M266" i="20"/>
  <c r="W266" i="20" s="1"/>
  <c r="X266" i="20" s="1"/>
  <c r="M265" i="20"/>
  <c r="W265" i="20" s="1"/>
  <c r="X265" i="20" s="1"/>
  <c r="M264" i="20"/>
  <c r="W264" i="20" s="1"/>
  <c r="X264" i="20" s="1"/>
  <c r="M263" i="20"/>
  <c r="W263" i="20" s="1"/>
  <c r="X263" i="20" s="1"/>
  <c r="M256" i="20"/>
  <c r="W256" i="20" s="1"/>
  <c r="X256" i="20" s="1"/>
  <c r="M255" i="20"/>
  <c r="W255" i="20" s="1"/>
  <c r="X255" i="20" s="1"/>
  <c r="M254" i="20"/>
  <c r="W254" i="20" s="1"/>
  <c r="X254" i="20" s="1"/>
  <c r="M253" i="20"/>
  <c r="W253" i="20" s="1"/>
  <c r="X253" i="20" s="1"/>
  <c r="M252" i="20"/>
  <c r="W252" i="20" s="1"/>
  <c r="X252" i="20" s="1"/>
  <c r="M251" i="20"/>
  <c r="W251" i="20" s="1"/>
  <c r="X251" i="20" s="1"/>
  <c r="M250" i="20"/>
  <c r="W250" i="20" s="1"/>
  <c r="X250" i="20" s="1"/>
  <c r="M249" i="20"/>
  <c r="W249" i="20" s="1"/>
  <c r="X249" i="20" s="1"/>
  <c r="M248" i="20"/>
  <c r="W248" i="20" s="1"/>
  <c r="X248" i="20" s="1"/>
  <c r="M247" i="20"/>
  <c r="W247" i="20" s="1"/>
  <c r="X247" i="20" s="1"/>
  <c r="M246" i="20"/>
  <c r="W246" i="20" s="1"/>
  <c r="X246" i="20" s="1"/>
  <c r="M245" i="20"/>
  <c r="W245" i="20" s="1"/>
  <c r="M244" i="20"/>
  <c r="W244" i="20" s="1"/>
  <c r="X244" i="20" s="1"/>
  <c r="M243" i="20"/>
  <c r="W243" i="20" s="1"/>
  <c r="X243" i="20" s="1"/>
  <c r="M242" i="20"/>
  <c r="W242" i="20" s="1"/>
  <c r="X242" i="20" s="1"/>
  <c r="M241" i="20"/>
  <c r="W241" i="20" s="1"/>
  <c r="X241" i="20" s="1"/>
  <c r="M240" i="20"/>
  <c r="W240" i="20" s="1"/>
  <c r="X240" i="20" s="1"/>
  <c r="M239" i="20"/>
  <c r="W239" i="20" s="1"/>
  <c r="X239" i="20" s="1"/>
  <c r="M238" i="20"/>
  <c r="W238" i="20" s="1"/>
  <c r="X238" i="20" s="1"/>
  <c r="M237" i="20"/>
  <c r="W237" i="20" s="1"/>
  <c r="X237" i="20" s="1"/>
  <c r="M236" i="20"/>
  <c r="W236" i="20" s="1"/>
  <c r="X236" i="20" s="1"/>
  <c r="M227" i="20"/>
  <c r="W227" i="20" s="1"/>
  <c r="X227" i="20" s="1"/>
  <c r="M226" i="20"/>
  <c r="W226" i="20" s="1"/>
  <c r="X226" i="20" s="1"/>
  <c r="M225" i="20"/>
  <c r="W225" i="20" s="1"/>
  <c r="X225" i="20" s="1"/>
  <c r="M224" i="20"/>
  <c r="W224" i="20" s="1"/>
  <c r="X224" i="20" s="1"/>
  <c r="M223" i="20"/>
  <c r="W223" i="20" s="1"/>
  <c r="X223" i="20" s="1"/>
  <c r="M222" i="20"/>
  <c r="W222" i="20" s="1"/>
  <c r="X222" i="20" s="1"/>
  <c r="M221" i="20"/>
  <c r="W221" i="20" s="1"/>
  <c r="M220" i="20"/>
  <c r="W220" i="20" s="1"/>
  <c r="X220" i="20" s="1"/>
  <c r="M219" i="20"/>
  <c r="W219" i="20" s="1"/>
  <c r="M218" i="20"/>
  <c r="W218" i="20" s="1"/>
  <c r="X218" i="20" s="1"/>
  <c r="M217" i="20"/>
  <c r="W217" i="20" s="1"/>
  <c r="X217" i="20" s="1"/>
  <c r="M216" i="20"/>
  <c r="W216" i="20" s="1"/>
  <c r="X216" i="20" s="1"/>
  <c r="M215" i="20"/>
  <c r="W215" i="20" s="1"/>
  <c r="X215" i="20" s="1"/>
  <c r="M214" i="20"/>
  <c r="W214" i="20" s="1"/>
  <c r="X214" i="20" s="1"/>
  <c r="M213" i="20"/>
  <c r="W213" i="20" s="1"/>
  <c r="X213" i="20" s="1"/>
  <c r="M212" i="20"/>
  <c r="W212" i="20" s="1"/>
  <c r="X212" i="20" s="1"/>
  <c r="M211" i="20"/>
  <c r="W211" i="20" s="1"/>
  <c r="X211" i="20" s="1"/>
  <c r="M210" i="20"/>
  <c r="W210" i="20" s="1"/>
  <c r="X210" i="20" s="1"/>
  <c r="M209" i="20"/>
  <c r="W209" i="20" s="1"/>
  <c r="X209" i="20" s="1"/>
  <c r="M208" i="20"/>
  <c r="W208" i="20" s="1"/>
  <c r="X208" i="20" s="1"/>
  <c r="M207" i="20"/>
  <c r="W207" i="20" s="1"/>
  <c r="X207" i="20" s="1"/>
  <c r="M206" i="20"/>
  <c r="W206" i="20" s="1"/>
  <c r="X206" i="20" s="1"/>
  <c r="M205" i="20"/>
  <c r="W205" i="20" s="1"/>
  <c r="X205" i="20" s="1"/>
  <c r="M204" i="20"/>
  <c r="W204" i="20" s="1"/>
  <c r="X204" i="20" s="1"/>
  <c r="M203" i="20"/>
  <c r="W203" i="20" s="1"/>
  <c r="X203" i="20" s="1"/>
  <c r="M202" i="20"/>
  <c r="W202" i="20" s="1"/>
  <c r="X202" i="20" s="1"/>
  <c r="M201" i="20"/>
  <c r="W201" i="20" s="1"/>
  <c r="X201" i="20" s="1"/>
  <c r="M200" i="20"/>
  <c r="W200" i="20" s="1"/>
  <c r="X200" i="20" s="1"/>
  <c r="M199" i="20"/>
  <c r="W199" i="20" s="1"/>
  <c r="X199" i="20" s="1"/>
  <c r="M197" i="20"/>
  <c r="W197" i="20" s="1"/>
  <c r="X197" i="20" s="1"/>
  <c r="M196" i="20"/>
  <c r="W196" i="20" s="1"/>
  <c r="X196" i="20" s="1"/>
  <c r="M195" i="20"/>
  <c r="W195" i="20" s="1"/>
  <c r="X195" i="20" s="1"/>
  <c r="M194" i="20"/>
  <c r="W194" i="20" s="1"/>
  <c r="X194" i="20" s="1"/>
  <c r="M193" i="20"/>
  <c r="W193" i="20" s="1"/>
  <c r="X193" i="20" s="1"/>
  <c r="M192" i="20"/>
  <c r="W192" i="20" s="1"/>
  <c r="X192" i="20" s="1"/>
  <c r="M191" i="20"/>
  <c r="W191" i="20" s="1"/>
  <c r="X191" i="20" s="1"/>
  <c r="M190" i="20"/>
  <c r="W190" i="20" s="1"/>
  <c r="X190" i="20" s="1"/>
  <c r="M189" i="20"/>
  <c r="W189" i="20" s="1"/>
  <c r="X189" i="20" s="1"/>
  <c r="M188" i="20"/>
  <c r="W188" i="20" s="1"/>
  <c r="X188" i="20" s="1"/>
  <c r="M187" i="20"/>
  <c r="W187" i="20" s="1"/>
  <c r="X187" i="20" s="1"/>
  <c r="M186" i="20"/>
  <c r="W186" i="20" s="1"/>
  <c r="X186" i="20" s="1"/>
  <c r="M185" i="20"/>
  <c r="W185" i="20" s="1"/>
  <c r="X185" i="20" s="1"/>
  <c r="M184" i="20"/>
  <c r="W184" i="20" s="1"/>
  <c r="X184" i="20" s="1"/>
  <c r="M183" i="20"/>
  <c r="W183" i="20" s="1"/>
  <c r="X183" i="20" s="1"/>
  <c r="M182" i="20"/>
  <c r="W182" i="20" s="1"/>
  <c r="X182" i="20" s="1"/>
  <c r="M181" i="20"/>
  <c r="W181" i="20" s="1"/>
  <c r="X181" i="20" s="1"/>
  <c r="M180" i="20"/>
  <c r="W180" i="20" s="1"/>
  <c r="X180" i="20" s="1"/>
  <c r="M179" i="20"/>
  <c r="W179" i="20" s="1"/>
  <c r="X179" i="20" s="1"/>
  <c r="M178" i="20"/>
  <c r="W178" i="20" s="1"/>
  <c r="X178" i="20" s="1"/>
  <c r="M177" i="20"/>
  <c r="W177" i="20" s="1"/>
  <c r="X177" i="20" s="1"/>
  <c r="M176" i="20"/>
  <c r="W176" i="20" s="1"/>
  <c r="X176" i="20" s="1"/>
  <c r="M175" i="20"/>
  <c r="W175" i="20" s="1"/>
  <c r="X175" i="20" s="1"/>
  <c r="M174" i="20"/>
  <c r="W174" i="20" s="1"/>
  <c r="X174" i="20" s="1"/>
  <c r="M170" i="20"/>
  <c r="W170" i="20" s="1"/>
  <c r="X170" i="20" s="1"/>
  <c r="M169" i="20"/>
  <c r="W169" i="20" s="1"/>
  <c r="X169" i="20" s="1"/>
  <c r="M168" i="20"/>
  <c r="W168" i="20" s="1"/>
  <c r="X168" i="20" s="1"/>
  <c r="M167" i="20"/>
  <c r="W167" i="20" s="1"/>
  <c r="X167" i="20" s="1"/>
  <c r="M166" i="20"/>
  <c r="W166" i="20" s="1"/>
  <c r="X166" i="20" s="1"/>
  <c r="M165" i="20"/>
  <c r="W165" i="20" s="1"/>
  <c r="X165" i="20" s="1"/>
  <c r="M164" i="20"/>
  <c r="W164" i="20" s="1"/>
  <c r="X164" i="20" s="1"/>
  <c r="M163" i="20"/>
  <c r="W163" i="20" s="1"/>
  <c r="X163" i="20" s="1"/>
  <c r="M162" i="20"/>
  <c r="W162" i="20" s="1"/>
  <c r="X162" i="20" s="1"/>
  <c r="M161" i="20"/>
  <c r="W161" i="20" s="1"/>
  <c r="X161" i="20" s="1"/>
  <c r="M160" i="20"/>
  <c r="W160" i="20" s="1"/>
  <c r="X160" i="20" s="1"/>
  <c r="M159" i="20"/>
  <c r="W159" i="20" s="1"/>
  <c r="X159" i="20" s="1"/>
  <c r="M158" i="20"/>
  <c r="W158" i="20" s="1"/>
  <c r="X158" i="20" s="1"/>
  <c r="M157" i="20"/>
  <c r="W157" i="20" s="1"/>
  <c r="X157" i="20" s="1"/>
  <c r="M156" i="20"/>
  <c r="W156" i="20" s="1"/>
  <c r="X156" i="20" s="1"/>
  <c r="M155" i="20"/>
  <c r="W155" i="20" s="1"/>
  <c r="X155" i="20" s="1"/>
  <c r="M154" i="20"/>
  <c r="W154" i="20" s="1"/>
  <c r="X154" i="20" s="1"/>
  <c r="M153" i="20"/>
  <c r="W153" i="20" s="1"/>
  <c r="X153" i="20" s="1"/>
  <c r="M152" i="20"/>
  <c r="W152" i="20" s="1"/>
  <c r="X152" i="20" s="1"/>
  <c r="M151" i="20"/>
  <c r="W151" i="20" s="1"/>
  <c r="X151" i="20" s="1"/>
  <c r="M150" i="20"/>
  <c r="W150" i="20" s="1"/>
  <c r="X150" i="20" s="1"/>
  <c r="M149" i="20"/>
  <c r="W149" i="20" s="1"/>
  <c r="X149" i="20" s="1"/>
  <c r="M148" i="20"/>
  <c r="W148" i="20" s="1"/>
  <c r="X148" i="20" s="1"/>
  <c r="M143" i="20"/>
  <c r="W143" i="20" s="1"/>
  <c r="X143" i="20" s="1"/>
  <c r="M142" i="20"/>
  <c r="W142" i="20" s="1"/>
  <c r="X142" i="20" s="1"/>
  <c r="M141" i="20"/>
  <c r="W141" i="20" s="1"/>
  <c r="X141" i="20" s="1"/>
  <c r="M140" i="20"/>
  <c r="W140" i="20" s="1"/>
  <c r="X140" i="20" s="1"/>
  <c r="M139" i="20"/>
  <c r="W139" i="20" s="1"/>
  <c r="X139" i="20" s="1"/>
  <c r="M138" i="20"/>
  <c r="W138" i="20" s="1"/>
  <c r="X138" i="20" s="1"/>
  <c r="M137" i="20"/>
  <c r="W137" i="20" s="1"/>
  <c r="X137" i="20" s="1"/>
  <c r="M136" i="20"/>
  <c r="W136" i="20" s="1"/>
  <c r="X136" i="20" s="1"/>
  <c r="M135" i="20"/>
  <c r="W135" i="20" s="1"/>
  <c r="X135" i="20" s="1"/>
  <c r="M134" i="20"/>
  <c r="W134" i="20" s="1"/>
  <c r="X134" i="20" s="1"/>
  <c r="M133" i="20"/>
  <c r="W133" i="20" s="1"/>
  <c r="X133" i="20" s="1"/>
  <c r="M132" i="20"/>
  <c r="W132" i="20" s="1"/>
  <c r="X132" i="20" s="1"/>
  <c r="M131" i="20"/>
  <c r="W131" i="20" s="1"/>
  <c r="X131" i="20" s="1"/>
  <c r="M130" i="20"/>
  <c r="W130" i="20" s="1"/>
  <c r="X130" i="20" s="1"/>
  <c r="M129" i="20"/>
  <c r="W129" i="20" s="1"/>
  <c r="X129" i="20" s="1"/>
  <c r="M128" i="20"/>
  <c r="W128" i="20" s="1"/>
  <c r="X128" i="20" s="1"/>
  <c r="M127" i="20"/>
  <c r="W127" i="20" s="1"/>
  <c r="X127" i="20" s="1"/>
  <c r="M126" i="20"/>
  <c r="W126" i="20" s="1"/>
  <c r="X126" i="20" s="1"/>
  <c r="M125" i="20"/>
  <c r="W125" i="20" s="1"/>
  <c r="X125" i="20" s="1"/>
  <c r="M124" i="20"/>
  <c r="W124" i="20" s="1"/>
  <c r="X124" i="20" s="1"/>
  <c r="M123" i="20"/>
  <c r="W123" i="20" s="1"/>
  <c r="X123" i="20" s="1"/>
  <c r="M122" i="20"/>
  <c r="W122" i="20" s="1"/>
  <c r="X122" i="20" s="1"/>
  <c r="M121" i="20"/>
  <c r="W121" i="20" s="1"/>
  <c r="X121" i="20" s="1"/>
  <c r="M115" i="20"/>
  <c r="W115" i="20" s="1"/>
  <c r="X115" i="20" s="1"/>
  <c r="M114" i="20"/>
  <c r="W114" i="20" s="1"/>
  <c r="X114" i="20" s="1"/>
  <c r="M113" i="20"/>
  <c r="W113" i="20" s="1"/>
  <c r="X113" i="20" s="1"/>
  <c r="M112" i="20"/>
  <c r="W112" i="20" s="1"/>
  <c r="X112" i="20" s="1"/>
  <c r="M111" i="20"/>
  <c r="W111" i="20" s="1"/>
  <c r="X111" i="20" s="1"/>
  <c r="M110" i="20"/>
  <c r="W110" i="20" s="1"/>
  <c r="X110" i="20" s="1"/>
  <c r="M109" i="20"/>
  <c r="W109" i="20" s="1"/>
  <c r="X109" i="20" s="1"/>
  <c r="M108" i="20"/>
  <c r="W108" i="20" s="1"/>
  <c r="X108" i="20" s="1"/>
  <c r="M107" i="20"/>
  <c r="W107" i="20" s="1"/>
  <c r="X107" i="20" s="1"/>
  <c r="M106" i="20"/>
  <c r="W106" i="20" s="1"/>
  <c r="X106" i="20" s="1"/>
  <c r="M105" i="20"/>
  <c r="W105" i="20" s="1"/>
  <c r="X105" i="20" s="1"/>
  <c r="M104" i="20"/>
  <c r="W104" i="20" s="1"/>
  <c r="X104" i="20" s="1"/>
  <c r="M103" i="20"/>
  <c r="W103" i="20" s="1"/>
  <c r="X103" i="20" s="1"/>
  <c r="M102" i="20"/>
  <c r="W102" i="20" s="1"/>
  <c r="X102" i="20" s="1"/>
  <c r="M101" i="20"/>
  <c r="W101" i="20" s="1"/>
  <c r="X101" i="20" s="1"/>
  <c r="M100" i="20"/>
  <c r="W100" i="20" s="1"/>
  <c r="X100" i="20" s="1"/>
  <c r="M99" i="20"/>
  <c r="W99" i="20" s="1"/>
  <c r="X99" i="20" s="1"/>
  <c r="M98" i="20"/>
  <c r="W98" i="20" s="1"/>
  <c r="X98" i="20" s="1"/>
  <c r="M97" i="20"/>
  <c r="W97" i="20" s="1"/>
  <c r="X97" i="20" s="1"/>
  <c r="M96" i="20"/>
  <c r="W96" i="20" s="1"/>
  <c r="X96" i="20" s="1"/>
  <c r="M95" i="20"/>
  <c r="W95" i="20" s="1"/>
  <c r="X95" i="20" s="1"/>
  <c r="M94" i="20"/>
  <c r="W94" i="20" s="1"/>
  <c r="X94" i="20" s="1"/>
  <c r="M93" i="20"/>
  <c r="W93" i="20" s="1"/>
  <c r="X93" i="20" s="1"/>
  <c r="M92" i="20"/>
  <c r="W92" i="20" s="1"/>
  <c r="X92" i="20" s="1"/>
  <c r="M91" i="20"/>
  <c r="W91" i="20" s="1"/>
  <c r="X91" i="20" s="1"/>
  <c r="M90" i="20"/>
  <c r="W90" i="20" s="1"/>
  <c r="X90" i="20" s="1"/>
  <c r="M89" i="20"/>
  <c r="W89" i="20" s="1"/>
  <c r="X89" i="20" s="1"/>
  <c r="M86" i="20"/>
  <c r="W86" i="20" s="1"/>
  <c r="X86" i="20" s="1"/>
  <c r="M85" i="20"/>
  <c r="W85" i="20" s="1"/>
  <c r="X85" i="20" s="1"/>
  <c r="M84" i="20"/>
  <c r="W84" i="20" s="1"/>
  <c r="X84" i="20" s="1"/>
  <c r="M83" i="20"/>
  <c r="W83" i="20" s="1"/>
  <c r="X83" i="20" s="1"/>
  <c r="M82" i="20"/>
  <c r="W82" i="20" s="1"/>
  <c r="X82" i="20" s="1"/>
  <c r="M81" i="20"/>
  <c r="W81" i="20" s="1"/>
  <c r="X81" i="20" s="1"/>
  <c r="M80" i="20"/>
  <c r="W80" i="20" s="1"/>
  <c r="X80" i="20" s="1"/>
  <c r="M79" i="20"/>
  <c r="W79" i="20" s="1"/>
  <c r="X79" i="20" s="1"/>
  <c r="M78" i="20"/>
  <c r="W78" i="20" s="1"/>
  <c r="X78" i="20" s="1"/>
  <c r="M77" i="20"/>
  <c r="W77" i="20" s="1"/>
  <c r="X77" i="20" s="1"/>
  <c r="M76" i="20"/>
  <c r="W76" i="20" s="1"/>
  <c r="X76" i="20" s="1"/>
  <c r="M75" i="20"/>
  <c r="W75" i="20" s="1"/>
  <c r="X75" i="20" s="1"/>
  <c r="M74" i="20"/>
  <c r="W74" i="20" s="1"/>
  <c r="X74" i="20" s="1"/>
  <c r="M73" i="20"/>
  <c r="W73" i="20" s="1"/>
  <c r="X73" i="20" s="1"/>
  <c r="M72" i="20"/>
  <c r="W72" i="20" s="1"/>
  <c r="X72" i="20" s="1"/>
  <c r="M71" i="20"/>
  <c r="W71" i="20" s="1"/>
  <c r="X71" i="20" s="1"/>
  <c r="M70" i="20"/>
  <c r="W70" i="20" s="1"/>
  <c r="X70" i="20" s="1"/>
  <c r="M69" i="20"/>
  <c r="W69" i="20" s="1"/>
  <c r="X69" i="20" s="1"/>
  <c r="M68" i="20"/>
  <c r="W68" i="20" s="1"/>
  <c r="X68" i="20" s="1"/>
  <c r="M67" i="20"/>
  <c r="W67" i="20" s="1"/>
  <c r="X67" i="20" s="1"/>
  <c r="M66" i="20"/>
  <c r="W66" i="20" s="1"/>
  <c r="X66" i="20" s="1"/>
  <c r="M65" i="20"/>
  <c r="W65" i="20" s="1"/>
  <c r="X65" i="20" s="1"/>
  <c r="M64" i="20"/>
  <c r="W64" i="20" s="1"/>
  <c r="X64" i="20" s="1"/>
  <c r="M63" i="20"/>
  <c r="W63" i="20" s="1"/>
  <c r="X63" i="20" s="1"/>
  <c r="M59" i="20"/>
  <c r="W59" i="20" s="1"/>
  <c r="X59" i="20" s="1"/>
  <c r="M58" i="20"/>
  <c r="W58" i="20" s="1"/>
  <c r="X58" i="20" s="1"/>
  <c r="M57" i="20"/>
  <c r="W57" i="20" s="1"/>
  <c r="X57" i="20" s="1"/>
  <c r="M56" i="20"/>
  <c r="W56" i="20" s="1"/>
  <c r="X56" i="20" s="1"/>
  <c r="M55" i="20"/>
  <c r="W55" i="20" s="1"/>
  <c r="X55" i="20" s="1"/>
  <c r="M54" i="20"/>
  <c r="W54" i="20" s="1"/>
  <c r="X54" i="20" s="1"/>
  <c r="M53" i="20"/>
  <c r="W53" i="20" s="1"/>
  <c r="X53" i="20" s="1"/>
  <c r="M52" i="20"/>
  <c r="W52" i="20" s="1"/>
  <c r="X52" i="20" s="1"/>
  <c r="M51" i="20"/>
  <c r="W51" i="20" s="1"/>
  <c r="X51" i="20" s="1"/>
  <c r="M50" i="20"/>
  <c r="W50" i="20" s="1"/>
  <c r="X50" i="20" s="1"/>
  <c r="M49" i="20"/>
  <c r="W49" i="20" s="1"/>
  <c r="X49" i="20" s="1"/>
  <c r="M48" i="20"/>
  <c r="W48" i="20" s="1"/>
  <c r="X48" i="20" s="1"/>
  <c r="M47" i="20"/>
  <c r="W47" i="20" s="1"/>
  <c r="X47" i="20" s="1"/>
  <c r="M46" i="20"/>
  <c r="W46" i="20" s="1"/>
  <c r="X46" i="20" s="1"/>
  <c r="M45" i="20"/>
  <c r="W45" i="20" s="1"/>
  <c r="X45" i="20" s="1"/>
  <c r="M44" i="20"/>
  <c r="W44" i="20" s="1"/>
  <c r="X44" i="20" s="1"/>
  <c r="M43" i="20"/>
  <c r="W43" i="20" s="1"/>
  <c r="X43" i="20" s="1"/>
  <c r="M42" i="20"/>
  <c r="W42" i="20" s="1"/>
  <c r="X42" i="20" s="1"/>
  <c r="M41" i="20"/>
  <c r="W41" i="20" s="1"/>
  <c r="X41" i="20" s="1"/>
  <c r="M40" i="20"/>
  <c r="W40" i="20" s="1"/>
  <c r="X40" i="20" s="1"/>
  <c r="M39" i="20"/>
  <c r="W39" i="20" s="1"/>
  <c r="X39" i="20" s="1"/>
  <c r="M38" i="20"/>
  <c r="W38" i="20" s="1"/>
  <c r="X38" i="20" s="1"/>
  <c r="M37" i="20"/>
  <c r="W37" i="20" s="1"/>
  <c r="X37" i="20" s="1"/>
  <c r="M36" i="20"/>
  <c r="W36" i="20" s="1"/>
  <c r="X36" i="20" s="1"/>
  <c r="M35" i="20"/>
  <c r="W35" i="20" s="1"/>
  <c r="X35" i="20" s="1"/>
  <c r="M34" i="20"/>
  <c r="W34" i="20" s="1"/>
  <c r="X34" i="20" s="1"/>
  <c r="M33" i="20"/>
  <c r="W33" i="20" s="1"/>
  <c r="X33" i="20" s="1"/>
  <c r="M31" i="20"/>
  <c r="W31" i="20" s="1"/>
  <c r="X31" i="20" s="1"/>
  <c r="M29" i="20"/>
  <c r="W29" i="20" s="1"/>
  <c r="X29" i="20" s="1"/>
  <c r="M28" i="20"/>
  <c r="W28" i="20" s="1"/>
  <c r="X28" i="20" s="1"/>
  <c r="M27" i="20"/>
  <c r="W27" i="20" s="1"/>
  <c r="X27" i="20" s="1"/>
  <c r="M26" i="20"/>
  <c r="W26" i="20" s="1"/>
  <c r="X26" i="20" s="1"/>
  <c r="M25" i="20"/>
  <c r="W25" i="20" s="1"/>
  <c r="X25" i="20" s="1"/>
  <c r="M24" i="20"/>
  <c r="W24" i="20" s="1"/>
  <c r="X24" i="20" s="1"/>
  <c r="M23" i="20"/>
  <c r="W23" i="20" s="1"/>
  <c r="X23" i="20" s="1"/>
  <c r="M22" i="20"/>
  <c r="W22" i="20" s="1"/>
  <c r="X22" i="20" s="1"/>
  <c r="M21" i="20"/>
  <c r="W21" i="20" s="1"/>
  <c r="X21" i="20" s="1"/>
  <c r="M20" i="20"/>
  <c r="W20" i="20" s="1"/>
  <c r="X20" i="20" s="1"/>
  <c r="M19" i="20"/>
  <c r="W19" i="20" s="1"/>
  <c r="X19" i="20" s="1"/>
  <c r="M18" i="20"/>
  <c r="W18" i="20" s="1"/>
  <c r="X18" i="20" s="1"/>
  <c r="M17" i="20"/>
  <c r="W17" i="20" s="1"/>
  <c r="X17" i="20" s="1"/>
  <c r="M16" i="20"/>
  <c r="W16" i="20" s="1"/>
  <c r="X16" i="20" s="1"/>
  <c r="M15" i="20"/>
  <c r="W15" i="20" s="1"/>
  <c r="X15" i="20" s="1"/>
  <c r="M14" i="20"/>
  <c r="W14" i="20" s="1"/>
  <c r="X14" i="20" s="1"/>
  <c r="M13" i="20"/>
  <c r="W13" i="20" s="1"/>
  <c r="X13" i="20" s="1"/>
  <c r="M12" i="20"/>
  <c r="W12" i="20" s="1"/>
  <c r="X12" i="20" s="1"/>
  <c r="M11" i="20"/>
  <c r="W11" i="20" s="1"/>
  <c r="X11" i="20" s="1"/>
  <c r="M10" i="20"/>
  <c r="W10" i="20" s="1"/>
  <c r="X10" i="20" s="1"/>
  <c r="M9" i="20"/>
  <c r="W9" i="20" s="1"/>
  <c r="X9" i="20" s="1"/>
  <c r="M8" i="20"/>
  <c r="W8" i="20" s="1"/>
  <c r="X8" i="20" s="1"/>
  <c r="M7" i="20"/>
  <c r="W7" i="20" s="1"/>
  <c r="X7" i="20" s="1"/>
  <c r="M6" i="20"/>
  <c r="W6" i="20" s="1"/>
  <c r="X6" i="20" s="1"/>
  <c r="M5" i="20"/>
  <c r="W5" i="20" s="1"/>
  <c r="X5" i="20" s="1"/>
  <c r="M4" i="20"/>
  <c r="W4" i="20" s="1"/>
  <c r="X4" i="20" s="1"/>
  <c r="M3" i="20"/>
  <c r="W3" i="20" s="1"/>
  <c r="X3" i="20" s="1"/>
  <c r="D10" i="21" l="1"/>
  <c r="D12" i="21"/>
  <c r="D14" i="21"/>
  <c r="D9" i="21"/>
  <c r="D13" i="21"/>
  <c r="D6" i="21"/>
  <c r="T33" i="21"/>
  <c r="U29" i="21"/>
  <c r="X33" i="21"/>
  <c r="X28" i="21"/>
  <c r="R31" i="21"/>
  <c r="T25" i="21"/>
  <c r="P32" i="21"/>
  <c r="Z25" i="21"/>
  <c r="T29" i="21"/>
  <c r="Y32" i="21"/>
  <c r="H6" i="21"/>
  <c r="Z28" i="21"/>
  <c r="U25" i="21"/>
  <c r="U23" i="21"/>
  <c r="R26" i="21"/>
  <c r="H38" i="21"/>
  <c r="S26" i="21"/>
  <c r="H30" i="21"/>
  <c r="H9" i="21"/>
  <c r="U30" i="21"/>
  <c r="S23" i="21"/>
  <c r="Q22" i="21"/>
  <c r="Y33" i="21"/>
  <c r="O33" i="21"/>
  <c r="Q23" i="21"/>
  <c r="U31" i="21"/>
  <c r="V32" i="21"/>
  <c r="P33" i="21"/>
  <c r="Y31" i="21"/>
  <c r="H32" i="21"/>
  <c r="T32" i="21"/>
  <c r="U22" i="21"/>
  <c r="Y28" i="21"/>
  <c r="S24" i="21"/>
  <c r="S22" i="21"/>
  <c r="X23" i="21"/>
  <c r="U27" i="21"/>
  <c r="H10" i="21"/>
  <c r="X30" i="21"/>
  <c r="V27" i="21"/>
  <c r="Q33" i="21"/>
  <c r="V26" i="21"/>
  <c r="O22" i="21"/>
  <c r="W28" i="21"/>
  <c r="V25" i="21"/>
  <c r="H28" i="21"/>
  <c r="Z30" i="21"/>
  <c r="H33" i="21"/>
  <c r="H16" i="21"/>
  <c r="O30" i="21"/>
  <c r="W29" i="21"/>
  <c r="T28" i="21"/>
  <c r="D8" i="21"/>
  <c r="D11" i="21"/>
  <c r="V31" i="21"/>
  <c r="S25" i="21"/>
  <c r="S27" i="21"/>
  <c r="X27" i="21"/>
  <c r="P27" i="21"/>
  <c r="Q32" i="21"/>
  <c r="X29" i="21"/>
  <c r="S30" i="21"/>
  <c r="P25" i="21"/>
  <c r="U32" i="21"/>
  <c r="O29" i="21"/>
  <c r="X31" i="21"/>
  <c r="X26" i="21"/>
  <c r="S28" i="21"/>
  <c r="V22" i="21"/>
  <c r="Q26" i="21"/>
  <c r="Z27" i="21"/>
  <c r="R28" i="21"/>
  <c r="H15" i="21"/>
  <c r="O26" i="21"/>
  <c r="V33" i="21"/>
  <c r="V24" i="21"/>
  <c r="T24" i="21"/>
  <c r="H35" i="21"/>
  <c r="P23" i="21"/>
  <c r="W26" i="21"/>
  <c r="H37" i="21"/>
  <c r="W33" i="21"/>
  <c r="W31" i="21"/>
  <c r="X32" i="21"/>
  <c r="R25" i="21"/>
  <c r="R27" i="21"/>
  <c r="X22" i="21"/>
  <c r="U24" i="21"/>
  <c r="P28" i="21"/>
  <c r="Y30" i="21"/>
  <c r="W23" i="21"/>
  <c r="W27" i="21"/>
  <c r="P29" i="21"/>
  <c r="P24" i="21"/>
  <c r="H5" i="21"/>
  <c r="U28" i="21"/>
  <c r="S32" i="21"/>
  <c r="H8" i="21"/>
  <c r="O31" i="21"/>
  <c r="W24" i="21"/>
  <c r="T27" i="21"/>
  <c r="Q28" i="21"/>
  <c r="R33" i="21"/>
  <c r="H34" i="21"/>
  <c r="H36" i="21"/>
  <c r="S29" i="21"/>
  <c r="H7" i="21"/>
  <c r="R24" i="21"/>
  <c r="O28" i="21"/>
  <c r="R30" i="21"/>
  <c r="R23" i="21"/>
  <c r="D5" i="21"/>
  <c r="W22" i="21"/>
  <c r="P30" i="21"/>
  <c r="X24" i="21"/>
  <c r="H11" i="21"/>
  <c r="Q31" i="21"/>
  <c r="S31" i="21"/>
  <c r="P31" i="21"/>
  <c r="U33" i="21"/>
  <c r="Y22" i="21"/>
  <c r="Q24" i="21"/>
  <c r="W30" i="21"/>
  <c r="O32" i="21"/>
  <c r="H12" i="21"/>
  <c r="Y23" i="21"/>
  <c r="O27" i="21"/>
  <c r="T22" i="21"/>
  <c r="Y24" i="21"/>
  <c r="Z22" i="21"/>
  <c r="P22" i="21"/>
  <c r="Z26" i="21"/>
  <c r="H17" i="21"/>
  <c r="H14" i="21"/>
  <c r="Y26" i="21"/>
  <c r="Y29" i="21"/>
  <c r="Q29" i="21"/>
  <c r="V29" i="21"/>
  <c r="H13" i="21"/>
  <c r="T30" i="21"/>
  <c r="Z29" i="21"/>
  <c r="Z33" i="21"/>
  <c r="V28" i="21"/>
  <c r="X25" i="21"/>
  <c r="O23" i="21"/>
  <c r="Z32" i="21"/>
  <c r="R32" i="21"/>
  <c r="W32" i="21"/>
  <c r="V23" i="21"/>
  <c r="P26" i="21"/>
  <c r="Q27" i="21"/>
  <c r="S33" i="21"/>
  <c r="T31" i="21"/>
  <c r="T26" i="21"/>
  <c r="O24" i="21"/>
  <c r="H29" i="21"/>
  <c r="H31" i="21"/>
  <c r="Q30" i="21"/>
  <c r="W25" i="21"/>
  <c r="O25" i="21"/>
  <c r="R29" i="21"/>
  <c r="T23" i="21"/>
  <c r="Z24" i="21"/>
  <c r="R22" i="21"/>
  <c r="Y27" i="21"/>
  <c r="Y25" i="21"/>
  <c r="Q25" i="21"/>
  <c r="V30" i="21"/>
  <c r="Z23" i="21"/>
  <c r="Z31" i="21"/>
  <c r="U26" i="21"/>
  <c r="D7" i="21"/>
  <c r="AA29" i="21" l="1"/>
  <c r="AC29" i="21" s="1"/>
  <c r="AB23" i="21"/>
  <c r="AD23" i="21" s="1"/>
  <c r="AA28" i="21"/>
  <c r="AC28" i="21" s="1"/>
  <c r="AB27" i="21"/>
  <c r="AD27" i="21" s="1"/>
  <c r="AB25" i="21"/>
  <c r="AD25" i="21" s="1"/>
  <c r="AA32" i="21"/>
  <c r="AC32" i="21" s="1"/>
  <c r="H21" i="21"/>
  <c r="AB30" i="21"/>
  <c r="AD30" i="21" s="1"/>
  <c r="AA27" i="21"/>
  <c r="AC27" i="21" s="1"/>
  <c r="H20" i="21"/>
  <c r="H19" i="21"/>
  <c r="J35" i="21" s="1"/>
  <c r="AB26" i="21"/>
  <c r="AD26" i="21" s="1"/>
  <c r="AA24" i="21"/>
  <c r="AC24" i="21" s="1"/>
  <c r="AA31" i="21"/>
  <c r="AC31" i="21" s="1"/>
  <c r="AA22" i="21"/>
  <c r="AC22" i="21" s="1"/>
  <c r="AA26" i="21"/>
  <c r="AC26" i="21" s="1"/>
  <c r="AA30" i="21"/>
  <c r="AC30" i="21" s="1"/>
  <c r="AB31" i="21"/>
  <c r="AD31" i="21" s="1"/>
  <c r="AB29" i="21"/>
  <c r="AD29" i="21" s="1"/>
  <c r="AA23" i="21"/>
  <c r="AC23" i="21" s="1"/>
  <c r="AA25" i="21"/>
  <c r="AC25" i="21" s="1"/>
  <c r="AB33" i="21"/>
  <c r="AD33" i="21" s="1"/>
  <c r="AB28" i="21"/>
  <c r="AD28" i="21" s="1"/>
  <c r="AB24" i="21"/>
  <c r="AD24" i="21" s="1"/>
  <c r="AB32" i="21"/>
  <c r="AD32" i="21" s="1"/>
  <c r="AB22" i="21"/>
  <c r="AD22" i="21" s="1"/>
  <c r="AA33" i="21"/>
  <c r="AC33" i="21" s="1"/>
  <c r="J8" i="21" l="1"/>
  <c r="J12" i="21"/>
  <c r="J14" i="21"/>
  <c r="J6" i="21"/>
  <c r="J37" i="21"/>
  <c r="J9" i="21"/>
  <c r="J16" i="21"/>
  <c r="J33" i="21"/>
  <c r="J34" i="21"/>
  <c r="J13" i="21"/>
  <c r="J30" i="21"/>
  <c r="J36" i="21"/>
  <c r="I21" i="21"/>
  <c r="J32" i="21"/>
  <c r="J15" i="21"/>
  <c r="J11" i="21"/>
  <c r="J5" i="21"/>
  <c r="J29" i="21"/>
  <c r="J10" i="21"/>
  <c r="J31" i="21"/>
  <c r="J28" i="21"/>
  <c r="J38" i="21"/>
  <c r="J7" i="21"/>
  <c r="I2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tc={DE92E7BB-4153-4B5A-8F1A-9F1E008E37C4}</author>
    <author>tc={AAF44513-DFA9-478A-B743-1905682BD3CB}</author>
    <author>tc={1C50522B-19B1-4444-AA5F-34324A45B16C}</author>
    <author>tc={E0024D79-3C8F-40FD-B4D1-9478CE6838A2}</author>
    <author>tc={4D4631A1-43A8-4E2E-BCA3-3711A6F890F1}</author>
    <author>tc={CC4E2604-D688-4C34-B4CA-604ED0675F93}</author>
    <author>tc={0E7DE0CF-DFC7-4820-AF36-7C0B247509B3}</author>
    <author>tc={8ECD0CB9-1F1E-4D43-ADF1-720470A4B7E9}</author>
    <author>tc={CADA0977-57E0-4B87-91C2-5E61C81A32BD}</author>
    <author>tc={F1DBFED4-3FB1-41E7-B7CB-1EBC0083E5B3}</author>
    <author>tc={A54B8896-A251-4C0B-9B98-3447F061EDE9}</author>
    <author>tc={92EDA10D-BB63-4F87-A6DB-ABDA65B8BFD8}</author>
    <author>tc={C52B4FFA-E84F-4C49-807B-D864BF840661}</author>
    <author>tc={A93B122B-05FA-4F12-8B68-BC4C5B005C0E}</author>
    <author>tc={302E59A1-2C46-4F5A-8CC9-BB8D6A19FDD3}</author>
    <author>tc={3F6BEE44-2E6B-409E-8A1B-EFE0C50F66B8}</author>
    <author>tc={60DD38F7-C5F7-4E23-B4D8-2BC181F67216}</author>
    <author>tc={CD6078C1-3ED1-42DA-B620-7634631D0D0A}</author>
    <author>tc={6F28889D-D85A-46C0-A690-FDB06C357BDF}</author>
    <author>tc={93A3C391-436A-488F-8ABC-CB111DC35FF1}</author>
    <author>tc={41C49B2D-4E30-4C5D-8807-8AC6425CB1BD}</author>
    <author>tc={FC9CFCEB-D50B-457D-BFB1-639436610491}</author>
    <author>tc={9C052386-C5F1-4BE0-BF42-4204C7AEF9B8}</author>
    <author>tc={956FC94C-D3F6-42B6-95D0-5C11A2B0CB14}</author>
    <author>tc={B32589AA-56F8-47B5-A3A6-69E36095D202}</author>
    <author>tc={169427EF-6408-44A6-A78A-801D93844ECD}</author>
    <author>tc={682995A3-C37D-4BEA-A0B8-2E9EB4896CDB}</author>
    <author>tc={4EE234D0-582E-4A68-AA50-D9F043423094}</author>
    <author>tc={E09206E5-D575-4EE0-BF3F-68ECCF46BB16}</author>
    <author>tc={4783CA16-97A8-4A43-9E68-D7937BEDC425}</author>
    <author>tc={2C66A8A9-A2F1-4184-BC2C-B41951ACD438}</author>
    <author>tc={6ECD7931-9F8B-4572-8E0C-5F6BD6B059D3}</author>
    <author>tc={D1FDB2F1-5692-480C-A562-422FE795042F}</author>
    <author>tc={B1FBE1C6-4E80-4390-82CA-4B5E463D10AA}</author>
    <author>tc={F6D93A4C-4416-4B65-A63C-1243507A0D48}</author>
    <author>tc={7286352E-4FA5-46E5-AA18-60BB8D8AC8DA}</author>
    <author>tc={94C88CF4-DF02-4E3F-945C-1331E66B4ED2}</author>
    <author>tc={23480EFE-4A8F-4369-82BC-FA19FE7A6098}</author>
    <author>tc={65A801BB-8EC5-4DC9-8BDF-CD150620C73B}</author>
    <author>tc={5E7CBA7C-D698-4E7E-B2AD-68DB3D4DF575}</author>
    <author>tc={BF6F5D4D-0B67-4F90-82C1-B7109CA3D64B}</author>
    <author>tc={829538FB-4DFE-4D83-A4E7-E6209D5931F0}</author>
    <author>tc={9372D818-093F-4207-A2E5-48C92B67D139}</author>
    <author>tc={1BE4899F-0CD1-41FA-B8DD-10CB329ACD08}</author>
    <author>tc={7347A585-9DCC-4155-832D-6B6AAD7C5C37}</author>
    <author>tc={071D8C86-4D9A-439A-9593-EFE2E762BD07}</author>
    <author>tc={52AFB8B1-EB76-45C7-BCB2-0C5880C663FB}</author>
    <author>tc={4F2E650D-1A7D-49CD-A27A-3F599BC053CE}</author>
    <author>tc={97D145EB-ABBA-41AE-B4DA-25CCBF6947CC}</author>
    <author>tc={234EAC41-955E-4332-81A7-E4C9EB920EBC}</author>
    <author>tc={0CFAD36D-34E5-4788-B5D8-3E3252CA1D6F}</author>
    <author>tc={98A902F9-1787-4F19-85BE-F9D2ED951C6C}</author>
    <author>tc={F77BB846-82F4-4CBA-8B51-8415F486C778}</author>
    <author>tc={845DB215-C55C-41FC-8B99-02561062ACFD}</author>
    <author>tc={01D43B26-1D82-4BEB-AF9C-846B288B473C}</author>
    <author>tc={13DC509C-1BAA-4A36-8383-14263AB0EF2D}</author>
    <author>tc={0E570748-1AA7-49A6-B832-B6571E7B7B65}</author>
    <author>tc={B51D11D4-E08E-4258-BB9B-256D2216A357}</author>
    <author>tc={99307A5E-49D4-4603-9A36-503D487A45A0}</author>
    <author>tc={9BB74426-5E87-4CB0-88E5-116C6B888F9A}</author>
    <author>tc={A9205C1D-8681-415D-B731-0E17F4CC1ADE}</author>
    <author>tc={05082366-FC46-41BF-B700-A3AE46A22010}</author>
    <author>tc={CAFC740C-5D62-4C78-BB19-00331F0F6DE8}</author>
    <author>tc={3C9196C8-892F-4760-B1A0-C268D078AC2D}</author>
    <author>tc={6B20D4D2-D722-4328-B8D9-635AD7D400C8}</author>
    <author>tc={1AA29E3E-950E-44F4-9693-ED8D9D6BE90E}</author>
    <author>tc={23842E43-1C92-453C-A4E4-0900CC610928}</author>
    <author>tc={0C0F46F1-97C9-4CF6-87FC-BD2951EF53CA}</author>
    <author>tc={86FD7652-9F5C-448E-A988-FFD8231C68D4}</author>
    <author>tc={1060A535-A365-44F1-BC7D-7C62EAE7D322}</author>
    <author>tc={D7FEBE7F-C758-46D5-8F2C-E7D6466A9CD9}</author>
    <author>tc={AFD98DA3-700C-4F37-AC62-996D4BDFC1CF}</author>
    <author>tc={AE0D1801-81AE-43A6-8991-DA77FFD70234}</author>
    <author>tc={9DDE6FD4-F098-46F4-B417-26A1118EE3AE}</author>
    <author>tc={6A7B77F7-0E6A-4911-89C9-0942D328D05E}</author>
    <author>tc={5EB772B3-AA22-4047-AAB1-67076CCDDC5A}</author>
    <author>tc={ED4E6977-79E5-46C7-A16A-48B63EC18B0C}</author>
    <author>tc={9362FA6D-5250-4392-B5FC-4AAB989B0A1E}</author>
    <author>tc={4BC01B35-9799-4B41-9B00-B8F889EF96FA}</author>
    <author>tc={153473CF-CFFA-4879-A746-DE6A3D95CCE0}</author>
    <author>tc={E29F0269-8EAC-434E-8539-B9CEF93AED3F}</author>
    <author>tc={23348A77-0F4D-40E2-AC4A-6A1991201D4F}</author>
    <author>tc={AC5F67A1-D10E-4113-9994-2B1731ABDC57}</author>
    <author>tc={32DE2B42-31D6-455F-BF6B-6D0806E2A5C0}</author>
    <author>tc={87B6E875-46BA-4CFE-B501-B8D2B9EB31A1}</author>
    <author>tc={2D6A1F9B-C27E-45C4-8398-2C298C670F56}</author>
    <author>tc={D317E168-ACD9-4E0F-A444-B190CF07753F}</author>
    <author>tc={6D9C405F-3062-41DD-9F95-CF51AE81D94F}</author>
    <author>tc={4E644499-2211-4E5A-B783-D8303BB2B406}</author>
    <author>tc={A1A541C9-5348-4E49-A37E-1A7C86727272}</author>
    <author>tc={CB69A84A-8060-4F47-9BF0-8B4ED24961DA}</author>
    <author>tc={0EC53740-C075-4AC9-B97E-A0F41C8107AE}</author>
    <author>tc={C83942B9-EB52-405E-926E-EEFD974A3EF8}</author>
    <author>tc={E9CEAF0E-CC2B-42B3-AE10-8563B5B11139}</author>
    <author>tc={EB375626-D7F5-4060-97C3-570F0B42F01F}</author>
    <author>tc={9872248C-A583-4F6C-997D-7DAAF045F22C}</author>
    <author>tc={BBF9FFDB-D051-4785-9EAD-2A90E617B9CA}</author>
    <author>tc={89D5F4AC-A8FC-4A6E-ABC7-1C33D69CA955}</author>
    <author>tc={7B4BC780-3447-48F7-81A3-4E8F340D836E}</author>
    <author>tc={B42ECA94-373C-4DBE-AC68-301549B0FA7D}</author>
    <author>tc={FF5D348E-3C27-4153-ACB2-A1768B14CC19}</author>
    <author>tc={C34F6EA6-40AA-40F5-8816-51F4D2EBA04F}</author>
    <author>tc={BC4FED43-0D40-4B6D-9D21-E170D537AA4E}</author>
    <author>tc={EA08D38A-85B6-4DC2-8045-1EB0AB72B272}</author>
    <author>tc={9291D731-D7CD-420A-BB44-212BC27505FC}</author>
    <author>tc={9237EE60-7DFB-4220-9BE5-1A802C377D6A}</author>
    <author>tc={9263B42A-C801-4F5A-9BA0-6C6F8ECD311D}</author>
    <author>tc={C37BB19B-3839-4981-86E3-45D157B865BC}</author>
    <author>tc={390DDABD-359B-4463-8B80-B992F89C754F}</author>
    <author>tc={E5F90FE4-AA13-4B4E-BB19-BB4799E9CE75}</author>
    <author>tc={EF008265-1204-4EA0-8322-78E005AD113B}</author>
    <author>tc={1FEBE973-50AE-45F5-B6AA-EFE23378F4C3}</author>
    <author>tc={40663ECD-0E56-44C2-BFFB-E63EAA0DB0EF}</author>
    <author>tc={F43A4DF9-075B-4445-A40B-90A04D089323}</author>
    <author>tc={860CB2E8-9DE1-41A3-AD90-0AF21B57C4A5}</author>
    <author>tc={6745E80B-6944-4477-98BD-DF4C3533B44A}</author>
    <author>tc={2B588FE6-F172-41C7-8F26-DCE7BABC13BF}</author>
    <author>tc={8B7DDFC1-F0F6-4392-BD07-552B6CD5326E}</author>
    <author>tc={44E68329-31F0-4AE1-A8BE-4738A74FF25A}</author>
    <author>tc={491A81BF-A274-4092-8AED-3C914A062038}</author>
    <author>tc={FF6AC73C-F583-4559-A1F0-E053AF9D20E4}</author>
    <author>tc={BF9DCB9F-B645-43AA-89DA-3143509EB7E5}</author>
    <author>tc={9F792FDC-1DC2-403F-A979-EAFB2D9C7813}</author>
    <author>tc={15C5EDDC-8BD5-4307-BC5B-A03EB1931050}</author>
    <author>tc={1C2E31E9-AF5F-422A-99D6-6BBA77A9FA11}</author>
    <author>tc={442AAA58-DA8A-4B4E-B9A8-A07F6284092F}</author>
    <author>tc={AAD3FEA7-8D95-447C-A1F4-018AF05261C8}</author>
    <author>tc={59B13F7D-14B8-4232-9376-D57811523C78}</author>
    <author>tc={A8598F3D-1A81-4FE5-AD4D-C85ED8D28CE1}</author>
    <author>tc={D66D202A-80CA-44C6-81AA-EC3425ED29DE}</author>
    <author>tc={77341AB6-1ECC-4BC9-B5E5-991A35692508}</author>
    <author>tc={BDDD7075-1138-42CA-9EB0-0D9820587BD6}</author>
    <author>tc={5516FA90-8D19-49F3-B2E8-90A585A32E78}</author>
    <author>tc={152A2E4E-3F19-4670-9AD6-A27E217B59C7}</author>
    <author>tc={ACEFB589-92AB-47BE-8A76-C627416538E5}</author>
    <author>tc={284055E3-F660-4EE9-9C80-0614FAE48B12}</author>
    <author>tc={BF012087-146A-43A6-8697-D579A75FCB33}</author>
    <author>tc={F2FA827B-871F-4E00-9B6D-F1C96F74701F}</author>
    <author>tc={FD37384A-4BBA-4056-A0C6-2A02CB8D62DD}</author>
    <author>tc={6AFFBD57-891F-4291-B355-964EF80F0367}</author>
    <author>tc={7977613D-C052-4027-B18C-35104979BCEE}</author>
    <author>tc={BAACB342-0807-416B-96AD-AC713D284C09}</author>
    <author>tc={ED806811-898B-4E40-9915-D68FE697B7D7}</author>
    <author>tc={C262441F-2C92-4EE5-A08D-C5BE77F8257B}</author>
    <author>tc={84E79F55-57EB-4B2E-92E9-862B51813422}</author>
    <author>tc={2F5869EF-93DD-44D3-8669-38FD1589B220}</author>
    <author>tc={9E7314AD-0D8B-41CB-80CB-55F478C29C38}</author>
    <author>tc={B84CC734-7C53-49D9-9B04-81551B45A7C2}</author>
    <author>tc={C39A0DCB-F6D7-4E26-985E-32BF92A781F3}</author>
    <author>tc={415D5AB0-5E7A-4A38-A46A-D840B69400CC}</author>
    <author>tc={3D0F5649-DBA9-454B-8B46-820641FDF06B}</author>
    <author>tc={4A67F497-D660-4141-8DD6-0A5DA2B9D5F4}</author>
    <author>tc={2667A3CB-E42E-4845-AD6A-FDE4B0F869C5}</author>
    <author>tc={A8F0E3A1-CDC4-4805-ABB3-868343C81869}</author>
    <author>tc={9EFFBCDC-1E85-467B-BC83-125811C8CC1A}</author>
    <author>tc={347BA5C5-7FBE-40A5-B29F-E023C0B9687F}</author>
    <author>tc={1A52266D-41AC-4843-9B8B-E53E0F8FABC9}</author>
    <author>tc={AE412A29-F360-4ECB-9BD0-FF99CA7D651A}</author>
    <author>tc={67000DD0-6123-460B-9756-499803D50E79}</author>
    <author>tc={F806825D-6144-4B72-8C6E-38941017D8EE}</author>
    <author>tc={8C225325-2903-49E9-AE00-8B1E02AAA125}</author>
    <author>tc={B25182D0-AD21-4C15-920C-324D45B89AE0}</author>
    <author>tc={C3B56C4B-AE7E-44CD-9736-FB99916B014A}</author>
    <author>tc={4284EAA1-AB04-4CC9-B107-403B31BC5DE5}</author>
    <author>tc={71024705-08FE-4F81-B995-B206510D7629}</author>
    <author>tc={62291887-EC50-49CF-A99B-BECBD736E0DD}</author>
    <author>tc={32C87792-DBE6-4FE7-AAD3-94BCA7AA2B1F}</author>
    <author>tc={77095FA8-D49E-45CA-A251-3D3CF49B9612}</author>
    <author>tc={27AE15B0-9865-4621-899C-C0E93E563C1C}</author>
    <author>tc={A98FD292-E095-4148-B204-3BED687C31E9}</author>
    <author>tc={5EF0FF52-A898-475C-BAA5-429A984394EC}</author>
    <author>tc={AC01A3AC-A5EB-44C5-9873-E6F2DF782744}</author>
    <author>tc={2B3D3D04-1BFF-4A2B-B6CB-1ED6D9D95A9D}</author>
    <author>tc={2DF8CEC0-7FE2-4852-A8F1-23B2941649BB}</author>
    <author>tc={DDFB5EC9-BDCF-4325-A7FA-93A2B7C648EE}</author>
    <author>tc={5975EFDA-5230-4C1E-9D3A-18F9FD702975}</author>
    <author>Mircea Susca</author>
    <author>tc={5D929C8C-BE46-4436-A016-848CF9C35F3E}</author>
    <author>tc={5C3AA37C-CEF5-4557-B085-06EA86341656}</author>
    <author>tc={54027570-D99E-4D24-A129-AD3175C2FF00}</author>
    <author>tc={13812E37-C3F4-4094-9362-A4AD97EEC22F}</author>
    <author>tc={70114A2C-66E5-46C8-9737-6F1CDD445BE7}</author>
    <author>tc={0757B03E-EF98-4CF6-ADA1-2F62E80938EC}</author>
    <author>tc={4B448801-629A-4672-B1AF-8F89788127CD}</author>
    <author>tc={62DAD7FB-7388-4BC8-A546-1C17D808687D}</author>
    <author>tc={9B6AA614-5856-4519-9FC1-5B8D864E22E1}</author>
    <author>tc={E33FC63F-48C7-4FC7-B919-7504BFB1ECFF}</author>
    <author>tc={15DBF1C8-72F8-420F-B092-A65C9DC54A49}</author>
    <author>tc={02ECD9B3-1554-485E-8AF0-42F8725C6EB0}</author>
    <author>tc={AB68C84D-153C-493A-9D55-F02DED26FEA5}</author>
    <author>tc={91644C0A-31E2-49B7-A472-66D2A6EE12D4}</author>
    <author>tc={1E68A07C-0094-453A-BAF5-86B3FD78DE4E}</author>
    <author>tc={6D02E0BB-F143-4B66-8079-A556D56508E2}</author>
    <author>tc={9C1CFF99-0D20-42BE-9CE5-915B2C84E9C0}</author>
    <author>tc={79A551E9-5F61-440F-9FCD-F6B6CACA4A21}</author>
    <author>tc={B61BFC62-8900-4858-9F80-AE9178AC81BE}</author>
    <author>tc={B4E346D3-528E-45D1-B071-B9EF6A0ED48E}</author>
    <author>tc={1F319907-2C1B-41A8-89A7-02E335BDAB8D}</author>
    <author>tc={ED6D46E1-C0B0-44FC-91DE-E33889569BB8}</author>
    <author>tc={34C0EF2D-E7EE-4A07-8C48-4F1A77BEE57B}</author>
    <author>tc={B63B494D-6E9E-49E2-99C8-E4FD43F82E41}</author>
    <author>tc={1596F71A-54B2-497C-A400-0118E94D5BE6}</author>
    <author>tc={B3083935-1660-4D66-B8C9-CE60979A67CB}</author>
    <author>tc={C00D27C1-618F-4079-974D-321FF561AAD0}</author>
    <author>tc={E711E5FE-DDBE-4F83-B67F-A7999E43AE1F}</author>
    <author>tc={AE31E2D8-C1F5-44A4-B3F7-1DD92683FBCD}</author>
    <author>tc={F411E6CF-384C-45B1-9C8F-AF621456EB46}</author>
    <author>tc={C1CAEB86-B594-4F30-9DDE-45A206A379D7}</author>
    <author>tc={65691BE4-9ED0-40DE-82E2-8412B14416D4}</author>
    <author>tc={3A67BA4A-78D5-4751-B9A8-D6F3D537330B}</author>
    <author>tc={C033DAD4-A6ED-44EC-8406-005288C55E33}</author>
    <author>tc={F784495A-0DFD-4442-AEEF-390C0100ED23}</author>
    <author>tc={D2EFC161-4088-4F15-BE01-15F714E41604}</author>
    <author>tc={CD5F626B-EC72-4B2A-878E-37052993C2B1}</author>
    <author>tc={A594EACE-DEDE-496D-935F-048D71D997C7}</author>
    <author>tc={46DC2114-42B4-485F-9E86-924B12FF6938}</author>
    <author>tc={55AABA9B-8C48-4EA8-A46D-CEECEDC9E71A}</author>
    <author>tc={EA6CF820-2D42-482E-B1CE-EAD5458E8F18}</author>
    <author>tc={C4B737E5-BB58-4EA9-8BAD-B8820719E875}</author>
    <author>tc={11E6B745-229F-445A-9005-B2FCA9D0EEE4}</author>
    <author>tc={ACFA5FB4-2AA7-45DC-A02B-10A9F591F589}</author>
    <author>tc={FDE4D1DC-214E-4A51-AD4A-E2386B85D94C}</author>
    <author>tc={210056A6-8CD3-4B67-9A66-3167A826A1D2}</author>
    <author>tc={4D9CD68E-CE7A-4E4F-84AC-C47FECED60E3}</author>
    <author>tc={23486798-6A34-4208-8D9D-4468B635777D}</author>
  </authors>
  <commentList>
    <comment ref="L4" authorId="0" shapeId="0" xr:uid="{DE92E7BB-4153-4B5A-8F1A-9F1E008E37C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K9" authorId="1" shapeId="0" xr:uid="{AAF44513-DFA9-478A-B743-1905682BD3C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13" authorId="2" shapeId="0" xr:uid="{1C50522B-19B1-4444-AA5F-34324A45B16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5" authorId="3" shapeId="0" xr:uid="{E0024D79-3C8F-40FD-B4D1-9478CE6838A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5/2</t>
      </text>
    </comment>
    <comment ref="L26" authorId="4" shapeId="0" xr:uid="{4D4631A1-43A8-4E2E-BCA3-3711A6F890F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32" authorId="5" shapeId="0" xr:uid="{CC4E2604-D688-4C34-B4CA-604ED0675F9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32" authorId="6" shapeId="0" xr:uid="{0E7DE0CF-DFC7-4820-AF36-7C0B247509B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J33" authorId="7" shapeId="0" xr:uid="{8ECD0CB9-1F1E-4D43-ADF1-720470A4B7E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33" authorId="8" shapeId="0" xr:uid="{CADA0977-57E0-4B87-91C2-5E61C81A32B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5/2</t>
      </text>
    </comment>
    <comment ref="H35" authorId="9" shapeId="0" xr:uid="{F1DBFED4-3FB1-41E7-B7CB-1EBC0083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J35" authorId="10" shapeId="0" xr:uid="{A54B8896-A251-4C0B-9B98-3447F061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43" authorId="11" shapeId="0" xr:uid="{92EDA10D-BB63-4F87-A6DB-ABDA65B8BFD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I46" authorId="12" shapeId="0" xr:uid="{C52B4FFA-E84F-4C49-807B-D864BF84066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J58" authorId="13" shapeId="0" xr:uid="{A93B122B-05FA-4F12-8B68-BC4C5B005C0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58" authorId="14" shapeId="0" xr:uid="{302E59A1-2C46-4F5A-8CC9-BB8D6A19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H60" authorId="15" shapeId="0" xr:uid="{3F6BEE44-2E6B-409E-8A1B-EFE0C50F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L60" authorId="16" shapeId="0" xr:uid="{60DD38F7-C5F7-4E23-B4D8-2BC181F6721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65" authorId="17" shapeId="0" xr:uid="{CD6078C1-3ED1-42DA-B620-7634631D0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H67" authorId="18" shapeId="0" xr:uid="{6F28889D-D85A-46C0-A690-FDB06C35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68" authorId="19" shapeId="0" xr:uid="{93A3C391-436A-488F-8ABC-CB111DC35FF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70" authorId="20" shapeId="0" xr:uid="{41C49B2D-4E30-4C5D-8807-8AC6425CB1B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H71" authorId="21" shapeId="0" xr:uid="{FC9CFCEB-D50B-457D-BFB1-63943661049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74" authorId="22" shapeId="0" xr:uid="{9C052386-C5F1-4BE0-BF42-4204C7AEF9B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I75" authorId="23" shapeId="0" xr:uid="{956FC94C-D3F6-42B6-95D0-5C11A2B0CB1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75" authorId="24" shapeId="0" xr:uid="{B32589AA-56F8-47B5-A3A6-69E36095D20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76" authorId="25" shapeId="0" xr:uid="{169427EF-6408-44A6-A78A-801D93844EC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76" authorId="26" shapeId="0" xr:uid="{682995A3-C37D-4BEA-A0B8-2E9EB4896CD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77" authorId="27" shapeId="0" xr:uid="{4EE234D0-582E-4A68-AA50-D9F04342309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78" authorId="28" shapeId="0" xr:uid="{E09206E5-D575-4EE0-BF3F-68ECCF46BB1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79" authorId="29" shapeId="0" xr:uid="{4783CA16-97A8-4A43-9E68-D7937BEDC42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0" authorId="30" shapeId="0" xr:uid="{2C66A8A9-A2F1-4184-BC2C-B41951ACD43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1" authorId="31" shapeId="0" xr:uid="{6ECD7931-9F8B-4572-8E0C-5F6BD6B059D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2" authorId="32" shapeId="0" xr:uid="{D1FDB2F1-5692-480C-A562-422FE795042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3" authorId="33" shapeId="0" xr:uid="{B1FBE1C6-4E80-4390-82CA-4B5E463D10A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H84" authorId="34" shapeId="0" xr:uid="{F6D93A4C-4416-4B65-A63C-1243507A0D4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I84" authorId="35" shapeId="0" xr:uid="{7286352E-4FA5-46E5-AA18-60BB8D8AC8D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4" authorId="36" shapeId="0" xr:uid="{94C88CF4-DF02-4E3F-945C-1331E66B4ED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5" authorId="37" shapeId="0" xr:uid="{23480EFE-4A8F-4369-82BC-FA19FE7A609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86" authorId="38" shapeId="0" xr:uid="{65A801BB-8EC5-4DC9-8BDF-CD150620C73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H87" authorId="39" shapeId="0" xr:uid="{5E7CBA7C-D698-4E7E-B2AD-68DB3D4DF57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87" authorId="40" shapeId="0" xr:uid="{BF6F5D4D-0B67-4F90-82C1-B7109CA3D64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90" authorId="41" shapeId="0" xr:uid="{829538FB-4DFE-4D83-A4E7-E6209D5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L90" authorId="42" shapeId="0" xr:uid="{9372D818-093F-4207-A2E5-48C92B67D13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L91" authorId="43" shapeId="0" xr:uid="{1BE4899F-0CD1-41FA-B8DD-10CB329ACD0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H92" authorId="44" shapeId="0" xr:uid="{7347A585-9DCC-4155-832D-6B6AAD7C5C3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L92" authorId="45" shapeId="0" xr:uid="{071D8C86-4D9A-439A-9593-EFE2E762BD0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93" authorId="46" shapeId="0" xr:uid="{52AFB8B1-EB76-45C7-BCB2-0C5880C6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94" authorId="47" shapeId="0" xr:uid="{4F2E650D-1A7D-49CD-A27A-3F599BC053C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94" authorId="48" shapeId="0" xr:uid="{97D145EB-ABBA-41AE-B4DA-25CCBF6947C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L94" authorId="49" shapeId="0" xr:uid="{234EAC41-955E-4332-81A7-E4C9EB920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96" authorId="50" shapeId="0" xr:uid="{0CFAD36D-34E5-4788-B5D8-3E3252CA1D6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H97" authorId="51" shapeId="0" xr:uid="{98A902F9-1787-4F19-85BE-F9D2ED951C6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97" authorId="52" shapeId="0" xr:uid="{F77BB846-82F4-4CBA-8B51-8415F486C77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98" authorId="53" shapeId="0" xr:uid="{845DB215-C55C-41FC-8B99-02561062ACF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H99" authorId="54" shapeId="0" xr:uid="{01D43B26-1D82-4BEB-AF9C-846B288B473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99" authorId="55" shapeId="0" xr:uid="{13DC509C-1BAA-4A36-8383-14263AB0EF2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H100" authorId="56" shapeId="0" xr:uid="{0E570748-1AA7-49A6-B832-B6571E7B7B6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L100" authorId="57" shapeId="0" xr:uid="{B51D11D4-E08E-4258-BB9B-256D2216A35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101" authorId="58" shapeId="0" xr:uid="{99307A5E-49D4-4603-9A36-503D487A45A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J101" authorId="59" shapeId="0" xr:uid="{9BB74426-5E87-4CB0-88E5-116C6B888F9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L101" authorId="60" shapeId="0" xr:uid="{A9205C1D-8681-415D-B731-0E17F4CC1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102" authorId="61" shapeId="0" xr:uid="{05082366-FC46-41BF-B700-A3AE46A2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102" authorId="62" shapeId="0" xr:uid="{CAFC740C-5D62-4C78-BB19-00331F0F6DE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103" authorId="63" shapeId="0" xr:uid="{3C9196C8-892F-4760-B1A0-C268D078AC2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J103" authorId="64" shapeId="0" xr:uid="{6B20D4D2-D722-4328-B8D9-635AD7D40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H104" authorId="65" shapeId="0" xr:uid="{1AA29E3E-950E-44F4-9693-ED8D9D6BE90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J104" authorId="66" shapeId="0" xr:uid="{23842E43-1C92-453C-A4E4-0900CC6109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104" authorId="67" shapeId="0" xr:uid="{0C0F46F1-97C9-4CF6-87FC-BD2951EF53C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J105" authorId="68" shapeId="0" xr:uid="{86FD7652-9F5C-448E-A988-FFD8231C68D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105" authorId="69" shapeId="0" xr:uid="{1060A535-A365-44F1-BC7D-7C62EAE7D32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J106" authorId="70" shapeId="0" xr:uid="{D7FEBE7F-C758-46D5-8F2C-E7D6466A9CD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106" authorId="71" shapeId="0" xr:uid="{AFD98DA3-700C-4F37-AC62-996D4BDFC1C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J107" authorId="72" shapeId="0" xr:uid="{AE0D1801-81AE-43A6-8991-DA77FFD7023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J108" authorId="73" shapeId="0" xr:uid="{9DDE6FD4-F098-46F4-B417-26A1118EE3A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K108" authorId="74" shapeId="0" xr:uid="{6A7B77F7-0E6A-4911-89C9-0942D328D05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5/2</t>
      </text>
    </comment>
    <comment ref="F109" authorId="75" shapeId="0" xr:uid="{5EB772B3-AA22-4047-AAB1-67076CCD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J109" authorId="76" shapeId="0" xr:uid="{ED4E6977-79E5-46C7-A16A-48B63EC18B0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J110" authorId="77" shapeId="0" xr:uid="{9362FA6D-5250-4392-B5FC-4AAB989B0A1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L111" authorId="78" shapeId="0" xr:uid="{4BC01B35-9799-4B41-9B00-B8F889EF9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J112" authorId="79" shapeId="0" xr:uid="{153473CF-CFFA-4879-A746-DE6A3D95CCE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L113" authorId="80" shapeId="0" xr:uid="{E29F0269-8EAC-434E-8539-B9CEF93AED3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I114" authorId="81" shapeId="0" xr:uid="{23348A77-0F4D-40E2-AC4A-6A1991201D4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J114" authorId="82" shapeId="0" xr:uid="{AC5F67A1-D10E-4113-9994-2B1731ABDC5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L114" authorId="83" shapeId="0" xr:uid="{32DE2B42-31D6-455F-BF6B-6D0806E2A5C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J115" authorId="84" shapeId="0" xr:uid="{87B6E875-46BA-4CFE-B501-B8D2B9EB31A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I120" authorId="85" shapeId="0" xr:uid="{2D6A1F9B-C27E-45C4-8398-2C298C670F5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L123" authorId="86" shapeId="0" xr:uid="{D317E168-ACD9-4E0F-A444-B190CF07753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J127" authorId="87" shapeId="0" xr:uid="{6D9C405F-3062-41DD-9F95-CF51AE81D94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128" authorId="88" shapeId="0" xr:uid="{4E644499-2211-4E5A-B783-D8303BB2B40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134" authorId="89" shapeId="0" xr:uid="{A1A541C9-5348-4E49-A37E-1A7C8672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H136" authorId="90" shapeId="0" xr:uid="{CB69A84A-8060-4F47-9BF0-8B4ED24961D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H139" authorId="91" shapeId="0" xr:uid="{0EC53740-C075-4AC9-B97E-A0F41C8107A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I144" authorId="92" shapeId="0" xr:uid="{C83942B9-EB52-405E-926E-EEFD974A3EF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176" authorId="93" shapeId="0" xr:uid="{E9CEAF0E-CC2B-42B3-AE10-8563B5B1113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181" authorId="94" shapeId="0" xr:uid="{EB375626-D7F5-4060-97C3-570F0B42F01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181" authorId="95" shapeId="0" xr:uid="{9872248C-A583-4F6C-997D-7DAAF045F22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g3eng</t>
      </text>
    </comment>
    <comment ref="F183" authorId="96" shapeId="0" xr:uid="{BBF9FFDB-D051-4785-9EAD-2A90E617B9C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183" authorId="97" shapeId="0" xr:uid="{89D5F4AC-A8FC-4A6E-ABC7-1C33D69CA95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K183" authorId="98" shapeId="0" xr:uid="{7B4BC780-3447-48F7-81A3-4E8F340D836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J184" authorId="99" shapeId="0" xr:uid="{B42ECA94-373C-4DBE-AC68-301549B0FA7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J185" authorId="100" shapeId="0" xr:uid="{FF5D348E-3C27-4153-ACB2-A1768B14CC1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186" authorId="101" shapeId="0" xr:uid="{C34F6EA6-40AA-40F5-8816-51F4D2EBA04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G187" authorId="102" shapeId="0" xr:uid="{BC4FED43-0D40-4B6D-9D21-E170D537AA4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H187" authorId="103" shapeId="0" xr:uid="{EA08D38A-85B6-4DC2-8045-1EB0AB72B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3/2</t>
      </text>
    </comment>
    <comment ref="J187" authorId="104" shapeId="0" xr:uid="{9291D731-D7CD-420A-BB44-212BC27505F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J188" authorId="105" shapeId="0" xr:uid="{9237EE60-7DFB-4220-9BE5-1A802C37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J190" authorId="106" shapeId="0" xr:uid="{9263B42A-C801-4F5A-9BA0-6C6F8ECD311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192" authorId="107" shapeId="0" xr:uid="{C37BB19B-3839-4981-86E3-45D157B865B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193" authorId="108" shapeId="0" xr:uid="{390DDABD-359B-4463-8B80-B992F89C754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196" authorId="109" shapeId="0" xr:uid="{E5F90FE4-AA13-4B4E-BB19-BB4799E9CE7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197" authorId="110" shapeId="0" xr:uid="{EF008265-1204-4EA0-8322-78E005AD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J202" authorId="111" shapeId="0" xr:uid="{1FEBE973-50AE-45F5-B6AA-EFE23378F4C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G203" authorId="112" shapeId="0" xr:uid="{40663ECD-0E56-44C2-BFFB-E63EAA0DB0E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g3eng</t>
      </text>
    </comment>
    <comment ref="H203" authorId="113" shapeId="0" xr:uid="{F43A4DF9-075B-4445-A40B-90A04D08932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K203" authorId="114" shapeId="0" xr:uid="{860CB2E8-9DE1-41A3-AD90-0AF21B57C4A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g3en</t>
      </text>
    </comment>
    <comment ref="I204" authorId="115" shapeId="0" xr:uid="{6745E80B-6944-4477-98BD-DF4C3533B44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204" authorId="116" shapeId="0" xr:uid="{2B588FE6-F172-41C7-8F26-DCE7BABC13B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K204" authorId="117" shapeId="0" xr:uid="{8B7DDFC1-F0F6-4392-BD07-552B6CD5326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I208" authorId="118" shapeId="0" xr:uid="{44E68329-31F0-4AE1-A8BE-4738A74FF25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J208" authorId="119" shapeId="0" xr:uid="{491A81BF-A274-4092-8AED-3C914A06203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K208" authorId="120" shapeId="0" xr:uid="{FF6AC73C-F583-4559-A1F0-E053AF9D20E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08" authorId="121" shapeId="0" xr:uid="{BF9DCB9F-B645-43AA-89DA-3143509EB7E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H209" authorId="122" shapeId="0" xr:uid="{9F792FDC-1DC2-403F-A979-EAFB2D9C781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H212" authorId="123" shapeId="0" xr:uid="{15C5EDDC-8BD5-4307-BC5B-A03EB1931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I212" authorId="124" shapeId="0" xr:uid="{1C2E31E9-AF5F-422A-99D6-6BBA77A9FA1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J212" authorId="125" shapeId="0" xr:uid="{442AAA58-DA8A-4B4E-B9A8-A07F6284092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212" authorId="126" shapeId="0" xr:uid="{AAD3FEA7-8D95-447C-A1F4-018AF05261C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J214" authorId="127" shapeId="0" xr:uid="{59B13F7D-14B8-4232-9376-D57811523C7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214" authorId="128" shapeId="0" xr:uid="{A8598F3D-1A81-4FE5-AD4D-C85ED8D28CE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6/2</t>
      </text>
    </comment>
    <comment ref="F227" authorId="129" shapeId="0" xr:uid="{D66D202A-80CA-44C6-81AA-EC3425ED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I230" authorId="130" shapeId="0" xr:uid="{77341AB6-1ECC-4BC9-B5E5-991A3569250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36" authorId="131" shapeId="0" xr:uid="{BDDD7075-1138-42CA-9EB0-0D9820587BD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240" authorId="132" shapeId="0" xr:uid="{5516FA90-8D19-49F3-B2E8-90A585A32E7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K241" authorId="133" shapeId="0" xr:uid="{152A2E4E-3F19-4670-9AD6-A27E217B59C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45" authorId="134" shapeId="0" xr:uid="{ACEFB589-92AB-47BE-8A76-C627416538E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46" authorId="135" shapeId="0" xr:uid="{284055E3-F660-4EE9-9C80-0614FAE48B1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47" authorId="136" shapeId="0" xr:uid="{BF012087-146A-43A6-8697-D579A75FCB3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L247" authorId="137" shapeId="0" xr:uid="{F2FA827B-871F-4E00-9B6D-F1C96F74701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I249" authorId="138" shapeId="0" xr:uid="{FD37384A-4BBA-4056-A0C6-2A02CB8D62D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52" authorId="139" shapeId="0" xr:uid="{6AFFBD57-891F-4291-B355-964EF80F036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L252" authorId="140" shapeId="0" xr:uid="{7977613D-C052-4027-B18C-35104979BCE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I253" authorId="141" shapeId="0" xr:uid="{BAACB342-0807-416B-96AD-AC713D284C0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54" authorId="142" shapeId="0" xr:uid="{ED806811-898B-4E40-9915-D68FE697B7D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K257" authorId="143" shapeId="0" xr:uid="{C262441F-2C92-4EE5-A08D-C5BE77F8257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L257" authorId="144" shapeId="0" xr:uid="{84E79F55-57EB-4B2E-92E9-862B5181342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eng</t>
      </text>
    </comment>
    <comment ref="L258" authorId="145" shapeId="0" xr:uid="{2F5869EF-93DD-44D3-8669-38FD1589B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259" authorId="146" shapeId="0" xr:uid="{9E7314AD-0D8B-41CB-80CB-55F478C29C3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I260" authorId="147" shapeId="0" xr:uid="{B84CC734-7C53-49D9-9B04-81551B45A7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 g7
</t>
      </text>
    </comment>
    <comment ref="L260" authorId="148" shapeId="0" xr:uid="{C39A0DCB-F6D7-4E26-985E-32BF92A781F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G261" authorId="149" shapeId="0" xr:uid="{415D5AB0-5E7A-4A38-A46A-D840B69400C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61" authorId="150" shapeId="0" xr:uid="{3D0F5649-DBA9-454B-8B46-820641FD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J261" authorId="151" shapeId="0" xr:uid="{4A67F497-D660-4141-8DD6-0A5DA2B9D5F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K261" authorId="152" shapeId="0" xr:uid="{2667A3CB-E42E-4845-AD6A-FDE4B0F869C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61" authorId="153" shapeId="0" xr:uid="{A8F0E3A1-CDC4-4805-ABB3-868343C8186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63" authorId="154" shapeId="0" xr:uid="{9EFFBCDC-1E85-467B-BC83-125811C8CC1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63" authorId="155" shapeId="0" xr:uid="{347BA5C5-7FBE-40A5-B29F-E023C0B9687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L263" authorId="156" shapeId="0" xr:uid="{1A52266D-41AC-4843-9B8B-E53E0F8FABC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eng</t>
      </text>
    </comment>
    <comment ref="I264" authorId="157" shapeId="0" xr:uid="{AE412A29-F360-4ECB-9BD0-FF99CA7D651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64" authorId="158" shapeId="0" xr:uid="{67000DD0-6123-460B-9756-499803D50E7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65" authorId="159" shapeId="0" xr:uid="{F806825D-6144-4B72-8C6E-38941017D8E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L266" authorId="160" shapeId="0" xr:uid="{8C225325-2903-49E9-AE00-8B1E02AAA12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67" authorId="161" shapeId="0" xr:uid="{B25182D0-AD21-4C15-920C-324D45B89AE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L268" authorId="162" shapeId="0" xr:uid="{C3B56C4B-AE7E-44CD-9736-FB99916B014A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I269" authorId="163" shapeId="0" xr:uid="{4284EAA1-AB04-4CC9-B107-403B31BC5DE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69" authorId="164" shapeId="0" xr:uid="{71024705-08FE-4F81-B995-B206510D762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69" authorId="165" shapeId="0" xr:uid="{62291887-EC50-49CF-A99B-BECBD736E0D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G270" authorId="166" shapeId="0" xr:uid="{32C87792-DBE6-4FE7-AAD3-94BCA7AA2B1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H270" authorId="167" shapeId="0" xr:uid="{77095FA8-D49E-45CA-A251-3D3CF49B9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 g7
</t>
      </text>
    </comment>
    <comment ref="I270" authorId="168" shapeId="0" xr:uid="{27AE15B0-9865-4621-899C-C0E93E563C1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70" authorId="169" shapeId="0" xr:uid="{A98FD292-E095-4148-B204-3BED687C31E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0" authorId="170" shapeId="0" xr:uid="{5EF0FF52-A898-475C-BAA5-429A984394E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70" authorId="171" shapeId="0" xr:uid="{AC01A3AC-A5EB-44C5-9873-E6F2DF78274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4/2</t>
      </text>
    </comment>
    <comment ref="K271" authorId="172" shapeId="0" xr:uid="{2B3D3D04-1BFF-4A2B-B6CB-1ED6D9D95A9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71" authorId="173" shapeId="0" xr:uid="{2DF8CEC0-7FE2-4852-A8F1-23B29416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L272" authorId="174" shapeId="0" xr:uid="{DDFB5EC9-BDCF-4325-A7FA-93A2B7C648E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2/2</t>
      </text>
    </comment>
    <comment ref="H273" authorId="175" shapeId="0" xr:uid="{5975EFDA-5230-4C1E-9D3A-18F9FD70297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3" authorId="176" shapeId="0" xr:uid="{84B03A94-969D-43A2-BCF7-DE7F5958BC79}">
      <text>
        <r>
          <rPr>
            <sz val="11"/>
            <color theme="1"/>
            <rFont val="Arial"/>
            <family val="2"/>
          </rPr>
          <t>Mircea Susca:
cu grupa 2 eng</t>
        </r>
      </text>
    </comment>
    <comment ref="J273" authorId="177" shapeId="0" xr:uid="{5D929C8C-BE46-4436-A016-848CF9C35F3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3" authorId="178" shapeId="0" xr:uid="{5C3AA37C-CEF5-4557-B085-06EA8634165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73" authorId="179" shapeId="0" xr:uid="{54027570-D99E-4D24-A129-AD3175C2FF0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G274" authorId="180" shapeId="0" xr:uid="{13812E37-C3F4-4094-9362-A4AD97EEC22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H274" authorId="181" shapeId="0" xr:uid="{70114A2C-66E5-46C8-9737-6F1CDD445BE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4" authorId="182" shapeId="0" xr:uid="{0757B03E-EF98-4CF6-ADA1-2F62E80938EC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74" authorId="183" shapeId="0" xr:uid="{4B448801-629A-4672-B1AF-8F89788127C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4" authorId="184" shapeId="0" xr:uid="{62DAD7FB-7388-4BC8-A546-1C17D808687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74" authorId="185" shapeId="0" xr:uid="{9B6AA614-5856-4519-9FC1-5B8D864E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I275" authorId="176" shapeId="0" xr:uid="{66E158EA-9587-42CF-A6C1-0E39CB051332}">
      <text>
        <r>
          <rPr>
            <sz val="11"/>
            <color theme="1"/>
            <rFont val="Arial"/>
            <family val="2"/>
          </rPr>
          <t>Mircea Susca:
cu grupa 2 eng</t>
        </r>
      </text>
    </comment>
    <comment ref="L275" authorId="186" shapeId="0" xr:uid="{E33FC63F-48C7-4FC7-B919-7504BFB1ECF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6" authorId="176" shapeId="0" xr:uid="{8EA799AD-CA6D-4BE0-A071-AE7A57F4138D}">
      <text>
        <r>
          <rPr>
            <sz val="11"/>
            <color theme="1"/>
            <rFont val="Arial"/>
            <family val="2"/>
          </rPr>
          <t>Mircea Susca:
cu grupa 2 eng</t>
        </r>
      </text>
    </comment>
    <comment ref="J276" authorId="187" shapeId="0" xr:uid="{15DBF1C8-72F8-420F-B092-A65C9DC54A4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6" authorId="188" shapeId="0" xr:uid="{02ECD9B3-1554-485E-8AF0-42F8725C6EB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G277" authorId="189" shapeId="0" xr:uid="{AB68C84D-153C-493A-9D55-F02DED26FEA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7" authorId="190" shapeId="0" xr:uid="{91644C0A-31E2-49B7-A472-66D2A6EE12D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77" authorId="191" shapeId="0" xr:uid="{1E68A07C-0094-453A-BAF5-86B3FD78D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7" authorId="192" shapeId="0" xr:uid="{6D02E0BB-F143-4B66-8079-A556D56508E2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8" authorId="193" shapeId="0" xr:uid="{9C1CFF99-0D20-42BE-9CE5-915B2C84E9C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278" authorId="194" shapeId="0" xr:uid="{79A551E9-5F61-440F-9FCD-F6B6CACA4A2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K278" authorId="195" shapeId="0" xr:uid="{B61BFC62-8900-4858-9F80-AE9178AC81B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78" authorId="196" shapeId="0" xr:uid="{B4E346D3-528E-45D1-B071-B9EF6A0ED48E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H279" authorId="197" shapeId="0" xr:uid="{1F319907-2C1B-41A8-89A7-02E335BDA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79" authorId="198" shapeId="0" xr:uid="{ED6D46E1-C0B0-44FC-91DE-E33889569BB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279" authorId="199" shapeId="0" xr:uid="{34C0EF2D-E7EE-4A07-8C48-4F1A77BEE57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K280" authorId="200" shapeId="0" xr:uid="{B63B494D-6E9E-49E2-99C8-E4FD43F82E4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80" authorId="201" shapeId="0" xr:uid="{1596F71A-54B2-497C-A400-0118E94D5BE6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3/1</t>
      </text>
    </comment>
    <comment ref="I281" authorId="202" shapeId="0" xr:uid="{B3083935-1660-4D66-B8C9-CE60979A67C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F282" authorId="203" shapeId="0" xr:uid="{C00D27C1-618F-4079-974D-321FF561A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g7/2</t>
      </text>
    </comment>
    <comment ref="L282" authorId="204" shapeId="0" xr:uid="{E711E5FE-DDBE-4F83-B67F-A7999E43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eng</t>
      </text>
    </comment>
    <comment ref="G284" authorId="205" shapeId="0" xr:uid="{AE31E2D8-C1F5-44A4-B3F7-1DD92683FBCD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H284" authorId="206" shapeId="0" xr:uid="{F411E6CF-384C-45B1-9C8F-AF621456EB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 g7
</t>
      </text>
    </comment>
    <comment ref="I284" authorId="207" shapeId="0" xr:uid="{C1CAEB86-B594-4F30-9DDE-45A206A379D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J284" authorId="208" shapeId="0" xr:uid="{65691BE4-9ED0-40DE-82E2-8412B144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5/2</t>
      </text>
    </comment>
    <comment ref="K284" authorId="209" shapeId="0" xr:uid="{3A67BA4A-78D5-4751-B9A8-D6F3D537330B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84" authorId="210" shapeId="0" xr:uid="{C033DAD4-A6ED-44EC-8406-005288C55E3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I285" authorId="176" shapeId="0" xr:uid="{CAF1FB5A-0DA9-44C7-8741-DC2BC757B1E9}">
      <text>
        <r>
          <rPr>
            <sz val="11"/>
            <color theme="1"/>
            <rFont val="Arial"/>
            <family val="2"/>
          </rPr>
          <t>Mircea Susca:
cu grupa 2 eng</t>
        </r>
      </text>
    </comment>
    <comment ref="I286" authorId="211" shapeId="0" xr:uid="{F784495A-0DFD-4442-AEEF-390C0100ED23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L286" authorId="212" shapeId="0" xr:uid="{D2EFC161-4088-4F15-BE01-15F714E41604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2/1</t>
      </text>
    </comment>
    <comment ref="I287" authorId="213" shapeId="0" xr:uid="{CD5F626B-EC72-4B2A-878E-37052993C2B1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J287" authorId="214" shapeId="0" xr:uid="{A594EACE-DEDE-496D-935F-048D71D997C7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4/1</t>
      </text>
    </comment>
    <comment ref="L287" authorId="215" shapeId="0" xr:uid="{46DC2114-42B4-485F-9E86-924B12FF693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grupa 5/1</t>
      </text>
    </comment>
    <comment ref="D291" authorId="216" shapeId="0" xr:uid="{55AABA9B-8C48-4EA8-A46D-CEECEDC9E7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Recontractare disciplina
</t>
      </text>
    </comment>
    <comment ref="I291" authorId="217" shapeId="0" xr:uid="{EA6CF820-2D42-482E-B1CE-EAD5458E8F18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 en</t>
      </text>
    </comment>
    <comment ref="J291" authorId="218" shapeId="0" xr:uid="{C4B737E5-BB58-4EA9-8BAD-B8820719E875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g3eng</t>
      </text>
    </comment>
    <comment ref="D294" authorId="219" shapeId="0" xr:uid="{11E6B745-229F-445A-9005-B2FCA9D0EE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Recontractare disciplina</t>
      </text>
    </comment>
    <comment ref="K294" authorId="220" shapeId="0" xr:uid="{ACFA5FB4-2AA7-45DC-A02B-10A9F591F589}">
      <text>
        <t>[Threaded comment]
Your version of Excel allows you to read this threaded comment; however, any edits to it will get removed if the file is opened in a newer version of Excel. Learn more: https://go.microsoft.com/fwlink/?linkid=870924
Comment:
    cu g7</t>
      </text>
    </comment>
    <comment ref="D295" authorId="221" shapeId="0" xr:uid="{FDE4D1DC-214E-4A51-AD4A-E2386B85D9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Recontractare disciplina</t>
      </text>
    </comment>
    <comment ref="D297" authorId="222" shapeId="0" xr:uid="{210056A6-8CD3-4B67-9A66-3167A826A1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Recontractare disciplina</t>
      </text>
    </comment>
    <comment ref="D300" authorId="223" shapeId="0" xr:uid="{4D9CD68E-CE7A-4E4F-84AC-C47FECED60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recontractare disciplina</t>
      </text>
    </comment>
    <comment ref="D301" authorId="224" shapeId="0" xr:uid="{23486798-6A34-4208-8D9D-4468B63577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Recontractare disciplina</t>
      </text>
    </comment>
  </commentList>
</comments>
</file>

<file path=xl/sharedStrings.xml><?xml version="1.0" encoding="utf-8"?>
<sst xmlns="http://schemas.openxmlformats.org/spreadsheetml/2006/main" count="1274" uniqueCount="376">
  <si>
    <t>final final</t>
  </si>
  <si>
    <t>nota</t>
  </si>
  <si>
    <t>nr</t>
  </si>
  <si>
    <t>abs</t>
  </si>
  <si>
    <t>promTS</t>
  </si>
  <si>
    <t>pass</t>
  </si>
  <si>
    <t xml:space="preserve">not </t>
  </si>
  <si>
    <t>not</t>
  </si>
  <si>
    <t>% pass</t>
  </si>
  <si>
    <t>% not</t>
  </si>
  <si>
    <t>partial</t>
  </si>
  <si>
    <t>an3CTI</t>
  </si>
  <si>
    <t>an4C</t>
  </si>
  <si>
    <t>group</t>
  </si>
  <si>
    <t>30221/1</t>
  </si>
  <si>
    <t>30221/2</t>
  </si>
  <si>
    <t>30222/1</t>
  </si>
  <si>
    <t>30222/2</t>
  </si>
  <si>
    <t>30223/1</t>
  </si>
  <si>
    <t>30223/2</t>
  </si>
  <si>
    <t>30224/1</t>
  </si>
  <si>
    <t>30224/2</t>
  </si>
  <si>
    <t>30225/1</t>
  </si>
  <si>
    <t>30225/2</t>
  </si>
  <si>
    <t>30226/1</t>
  </si>
  <si>
    <t>30226/2</t>
  </si>
  <si>
    <t>30227/1</t>
  </si>
  <si>
    <t>30227/2</t>
  </si>
  <si>
    <t>30228/1</t>
  </si>
  <si>
    <t>30228/2</t>
  </si>
  <si>
    <t>30229/1</t>
  </si>
  <si>
    <t>30229/2</t>
  </si>
  <si>
    <t>302210/1</t>
  </si>
  <si>
    <t>302210/2</t>
  </si>
  <si>
    <t>an 2 CTI ro 2025-2026</t>
  </si>
  <si>
    <t>test 1</t>
  </si>
  <si>
    <t>test2</t>
  </si>
  <si>
    <t>test3</t>
  </si>
  <si>
    <t>test4</t>
  </si>
  <si>
    <t>test5</t>
  </si>
  <si>
    <t>Nr.</t>
  </si>
  <si>
    <t>ord</t>
  </si>
  <si>
    <t>grupa</t>
  </si>
  <si>
    <t>Nume</t>
  </si>
  <si>
    <t>grupa lab</t>
  </si>
  <si>
    <t>Lab 1</t>
  </si>
  <si>
    <t>Lab2/T1</t>
  </si>
  <si>
    <t>Lab3/T2</t>
  </si>
  <si>
    <t>Lab4/T3</t>
  </si>
  <si>
    <t>Lab5/T4</t>
  </si>
  <si>
    <t>Lab6/T5</t>
  </si>
  <si>
    <t>Lab 7</t>
  </si>
  <si>
    <t>Suma lab</t>
  </si>
  <si>
    <t>Q1</t>
  </si>
  <si>
    <t>Q2</t>
  </si>
  <si>
    <t>Partial</t>
  </si>
  <si>
    <t>Iunie</t>
  </si>
  <si>
    <t>re1p</t>
  </si>
  <si>
    <t>re2p</t>
  </si>
  <si>
    <t>Final</t>
  </si>
  <si>
    <t>re1f</t>
  </si>
  <si>
    <t>re2f</t>
  </si>
  <si>
    <t>Total</t>
  </si>
  <si>
    <t>Nota</t>
  </si>
  <si>
    <t>maxp</t>
  </si>
  <si>
    <t>maxf</t>
  </si>
  <si>
    <t>Obs</t>
  </si>
  <si>
    <t>Albu Darius</t>
  </si>
  <si>
    <t>p</t>
  </si>
  <si>
    <t>Ardelean Antonio - Ionut</t>
  </si>
  <si>
    <t>Bandila Carla - Briana</t>
  </si>
  <si>
    <t>Bena Razvan - Ioan</t>
  </si>
  <si>
    <t>Boroschi Tudor</t>
  </si>
  <si>
    <t>Chis Ioana</t>
  </si>
  <si>
    <t>Cobuz - Paladi Adrian - Raul</t>
  </si>
  <si>
    <t>Cobzaru Mihnea - Constantin</t>
  </si>
  <si>
    <t>Coste Lucian Marcel</t>
  </si>
  <si>
    <t>rec</t>
  </si>
  <si>
    <t>Dancul Razvan - Adrian</t>
  </si>
  <si>
    <t>Fainus Mario - Rafael</t>
  </si>
  <si>
    <t>Felea Daiana - Alexandra</t>
  </si>
  <si>
    <t>Georgita Nicoleta</t>
  </si>
  <si>
    <t>Grosu Amalia - Maria</t>
  </si>
  <si>
    <t>Hristea Razvan - Catalin</t>
  </si>
  <si>
    <t>Iacob Catinca - Maria</t>
  </si>
  <si>
    <t>Mateas Casian - Andrei</t>
  </si>
  <si>
    <t>Mateas Cristian Marcel</t>
  </si>
  <si>
    <t>Mihalyi Yasmine - Firuta</t>
  </si>
  <si>
    <t>Muntean David - Cristian</t>
  </si>
  <si>
    <t>Pitan Miriam - Alexia</t>
  </si>
  <si>
    <t>Pop Alexandru Ioan</t>
  </si>
  <si>
    <t>Prodan Ioan - Alexandru</t>
  </si>
  <si>
    <t>Puscas Gabriel - Lodica</t>
  </si>
  <si>
    <t>Rusu Dumitrita - Mihaela</t>
  </si>
  <si>
    <t>Saveanu Alexia - Raluca</t>
  </si>
  <si>
    <t>Simina Diana Nicoleta</t>
  </si>
  <si>
    <t>Vlasin Marian - Vasile</t>
  </si>
  <si>
    <t>Abalasei David - Cosmin</t>
  </si>
  <si>
    <t>Antoniade Tudor - Lucian</t>
  </si>
  <si>
    <t>Biris George - Alexandru</t>
  </si>
  <si>
    <t>Contra Sergiu - Patrik</t>
  </si>
  <si>
    <t>Corbean Tudor - Ciprian</t>
  </si>
  <si>
    <t>Cosma Ovidiu - Ionut</t>
  </si>
  <si>
    <t>Cristea Maria - Cristina</t>
  </si>
  <si>
    <t>Dan Teodor - Valentin</t>
  </si>
  <si>
    <t>Denes Eduard</t>
  </si>
  <si>
    <t>Festila Matei - Codrin</t>
  </si>
  <si>
    <t>Gal Patricia</t>
  </si>
  <si>
    <t>Gavris Alexandru Catalin</t>
  </si>
  <si>
    <t>Georgian Raul</t>
  </si>
  <si>
    <t>Ilban Daniel - Emanuele</t>
  </si>
  <si>
    <t>Kantor Arthur</t>
  </si>
  <si>
    <t>Luncean Andrei - Ioan - Dacian</t>
  </si>
  <si>
    <t>Manea Luca</t>
  </si>
  <si>
    <t>Mera Darius</t>
  </si>
  <si>
    <t>Mozsi Denis - Alex</t>
  </si>
  <si>
    <t>Muresan Alin - Dorin</t>
  </si>
  <si>
    <t>Nagy Erik Tobias</t>
  </si>
  <si>
    <t>Nicusan Sara - Daniela</t>
  </si>
  <si>
    <t>Pintilii Denis - Gabriel</t>
  </si>
  <si>
    <t>Pop Dragos - Bogdan</t>
  </si>
  <si>
    <t>Saad Farah</t>
  </si>
  <si>
    <t>Sandru Ilie - Adrian</t>
  </si>
  <si>
    <t>Suciu Sonia - Maria</t>
  </si>
  <si>
    <t>Suteu Radu - Iosif</t>
  </si>
  <si>
    <t>Vaduva Radu - Mihai</t>
  </si>
  <si>
    <t>Asandei Ioana</t>
  </si>
  <si>
    <t>Boanta Andreea - Antonia</t>
  </si>
  <si>
    <t>Buda Robert - Adrian</t>
  </si>
  <si>
    <t>Chira Tudor</t>
  </si>
  <si>
    <t>Cimpean Alexandru - Andrei</t>
  </si>
  <si>
    <t>Ciora Iamin - Cristian</t>
  </si>
  <si>
    <t>Cojocaru Alexandru</t>
  </si>
  <si>
    <t>Costache Mihai</t>
  </si>
  <si>
    <t>Damian Felix</t>
  </si>
  <si>
    <t>Diaconu Larisa - Damaris</t>
  </si>
  <si>
    <t>Filip Andrei</t>
  </si>
  <si>
    <t>Gretcan Stefan</t>
  </si>
  <si>
    <t>Hegedus Eva</t>
  </si>
  <si>
    <t>Kolcsar Evelin</t>
  </si>
  <si>
    <t>Loga Dara</t>
  </si>
  <si>
    <t>Pahomi Luca - Daniel</t>
  </si>
  <si>
    <t>Pilug Marcela</t>
  </si>
  <si>
    <t>Prelipcean Rares - Mihail</t>
  </si>
  <si>
    <t>Prode Gabriel - Ilie</t>
  </si>
  <si>
    <t>Pusca Timeea Nicole</t>
  </si>
  <si>
    <t>Rat Caius Ioan</t>
  </si>
  <si>
    <t>Salagean Antonia - Andrada</t>
  </si>
  <si>
    <t>Steiu Alessandro - Andrei</t>
  </si>
  <si>
    <t>Sular Stefan</t>
  </si>
  <si>
    <t>Tanaselea Ioana</t>
  </si>
  <si>
    <t>Ungur Daria</t>
  </si>
  <si>
    <t>Vlasceanu Andreea - Denisa</t>
  </si>
  <si>
    <t>Andrisan Valentin Vasile</t>
  </si>
  <si>
    <t>Ariesan David</t>
  </si>
  <si>
    <t>Belascu Vasile - Sebastian</t>
  </si>
  <si>
    <t>Birta Camelia - Alexandra</t>
  </si>
  <si>
    <t>Bogdan Daniel - Andrei</t>
  </si>
  <si>
    <t>Buta Ana - Maria</t>
  </si>
  <si>
    <t>Chelu Daria - Cristiana</t>
  </si>
  <si>
    <t>Chira Dorin - Ciprian</t>
  </si>
  <si>
    <t>Cont Tudor</t>
  </si>
  <si>
    <t>Domide Elena - Maria</t>
  </si>
  <si>
    <t>Gujan Ligia</t>
  </si>
  <si>
    <t>Iacob Mircea</t>
  </si>
  <si>
    <t>Iuga Ioana</t>
  </si>
  <si>
    <t>Leah Paul - Sorin</t>
  </si>
  <si>
    <t>Mocodean Briana - Daniela</t>
  </si>
  <si>
    <t>final pt iunie</t>
  </si>
  <si>
    <t>Moldovan Rares - Nicolae</t>
  </si>
  <si>
    <t>Morar Bianca - Maria</t>
  </si>
  <si>
    <t>Petrariu Diana - Mihaela</t>
  </si>
  <si>
    <t>Pop Alin - Grigore</t>
  </si>
  <si>
    <t>Pop Tudor - Catalin</t>
  </si>
  <si>
    <t>Popovici Octavian</t>
  </si>
  <si>
    <t>Rostofolu Robert - Ioan</t>
  </si>
  <si>
    <t>Rus Andrei - Stefan</t>
  </si>
  <si>
    <t>Rusen Alexandra - Ioana</t>
  </si>
  <si>
    <t>Scurtu Miriam-Tabita</t>
  </si>
  <si>
    <t>Stan Andrei - Laurentiu</t>
  </si>
  <si>
    <t>Susman Bogdan</t>
  </si>
  <si>
    <t>Topor Andrei - Nicolae</t>
  </si>
  <si>
    <t>Vrancean Antonia - Bianca</t>
  </si>
  <si>
    <t>Avram Oana - Teodora</t>
  </si>
  <si>
    <t>Bodnar Lucian - Dumitrel</t>
  </si>
  <si>
    <t>Chetan David</t>
  </si>
  <si>
    <t>Constantinescu Mihnea</t>
  </si>
  <si>
    <t>Costea Emma - Cristiana</t>
  </si>
  <si>
    <t>Cretu Daniel - Gavril</t>
  </si>
  <si>
    <t>Crisan Alexandru</t>
  </si>
  <si>
    <t>Cuibar Anca - Stefania</t>
  </si>
  <si>
    <t>Daraban Miruna - Elena</t>
  </si>
  <si>
    <t>Frentiu Serban - Catalin</t>
  </si>
  <si>
    <t>Herghelegiu Bianca - Maria</t>
  </si>
  <si>
    <t>Husleag Aaron Darius</t>
  </si>
  <si>
    <t>Kocak Halil</t>
  </si>
  <si>
    <t>Nicolescu Teodora - Simina</t>
  </si>
  <si>
    <t>Poliec Elena</t>
  </si>
  <si>
    <t>Popa Andrei - Cristian</t>
  </si>
  <si>
    <t>Prangate Andreea</t>
  </si>
  <si>
    <t>Reus Eduard - Iulian</t>
  </si>
  <si>
    <t>Stetco Giulia - Ioana</t>
  </si>
  <si>
    <t>Tamaian Lidia - Alexandra</t>
  </si>
  <si>
    <t>Teslovan Alexandra - Georgiana</t>
  </si>
  <si>
    <t>Toma Daria - Paraschiva</t>
  </si>
  <si>
    <t>Tomsa Mario Lucian</t>
  </si>
  <si>
    <t>Trifa Maria - Andreea</t>
  </si>
  <si>
    <t>Urzica Tudor - Ioan</t>
  </si>
  <si>
    <t>Vaida Alexandra - Maria</t>
  </si>
  <si>
    <t>Varvara Matei - Stefan</t>
  </si>
  <si>
    <t>Vesa Andrei</t>
  </si>
  <si>
    <t>Biliboaca Alex - Victor</t>
  </si>
  <si>
    <t>Ciloag Erik - Cristian</t>
  </si>
  <si>
    <t>Ciorsac Elisa Alexandra</t>
  </si>
  <si>
    <t>Colan Radu - Andrei</t>
  </si>
  <si>
    <t>Cracana Georgiana - Marcela</t>
  </si>
  <si>
    <t>Darie Robert-Stefan</t>
  </si>
  <si>
    <t>Fitai Irisz - Maria</t>
  </si>
  <si>
    <t>Furdui Marius</t>
  </si>
  <si>
    <t>Gheorghiescu Teona</t>
  </si>
  <si>
    <t>Ghiurca Raul - Daniel</t>
  </si>
  <si>
    <t>Heghes David - Andrei</t>
  </si>
  <si>
    <t>Hiruta Bogdan</t>
  </si>
  <si>
    <t>Joldes Mircea-Andrei</t>
  </si>
  <si>
    <t>Kovacs David</t>
  </si>
  <si>
    <t>Luci Emanuel-Florin</t>
  </si>
  <si>
    <t>Lucin Petruta - Dochia</t>
  </si>
  <si>
    <t>Mihocas Razvan - Ionut - Nicolae</t>
  </si>
  <si>
    <t>Pop Horatiu - Claudiu</t>
  </si>
  <si>
    <t>Rotar Dan - Alexandru</t>
  </si>
  <si>
    <t>Stoica Victor - Constantin</t>
  </si>
  <si>
    <t>Strajan Maria - Andreea</t>
  </si>
  <si>
    <t>Strat Denisa - Roberta</t>
  </si>
  <si>
    <t>Strugar Maxim - Ionut</t>
  </si>
  <si>
    <t>Suciu Stefan - Samuel</t>
  </si>
  <si>
    <t>Tarlea Ana</t>
  </si>
  <si>
    <t>Timbolmas Mihai - Andrei</t>
  </si>
  <si>
    <t>Valean David Darius</t>
  </si>
  <si>
    <t>Adorean Sebastian - Sorin</t>
  </si>
  <si>
    <t>Agoston Sergiu Daniel</t>
  </si>
  <si>
    <t>Baltatescu Carina - Alexandra</t>
  </si>
  <si>
    <t>Bucur Alexandru</t>
  </si>
  <si>
    <t>Chifor Petru - Octavian</t>
  </si>
  <si>
    <t>Cristea Ioana - Lacrimioara</t>
  </si>
  <si>
    <t>Cristea Leonardo - Jonathan</t>
  </si>
  <si>
    <t>Davidel Calin - Stefan</t>
  </si>
  <si>
    <t>Folea Cristian - Cornel</t>
  </si>
  <si>
    <t>Fortuber Patrick - Angel</t>
  </si>
  <si>
    <t>Gavra Clara - Diana</t>
  </si>
  <si>
    <t>Golban Alex - Gratian</t>
  </si>
  <si>
    <t>Hotico Ioana - Corina</t>
  </si>
  <si>
    <t>Josan Cristian</t>
  </si>
  <si>
    <t>Lambrea Andreea - Laura</t>
  </si>
  <si>
    <t>Manoila Antonia - Andreea</t>
  </si>
  <si>
    <t>Mot Sebastian</t>
  </si>
  <si>
    <t>Muresan Andra - Denisa</t>
  </si>
  <si>
    <t>Mustea Dan - Ioan</t>
  </si>
  <si>
    <t>Otvos Ianis - Lucas</t>
  </si>
  <si>
    <t>Pop Rares - Gheorghe</t>
  </si>
  <si>
    <t>Puscas Maria - Alexandra</t>
  </si>
  <si>
    <t>Sandu Tudor</t>
  </si>
  <si>
    <t>Stanciu Maria - Alexandra</t>
  </si>
  <si>
    <t>Stefanescu Cristian - Serban</t>
  </si>
  <si>
    <t>Tiganetea Andreea - Cristina</t>
  </si>
  <si>
    <t>Valcan Bogdan - Vasile</t>
  </si>
  <si>
    <t>Alexa Mario</t>
  </si>
  <si>
    <t>Buda Alessia - Giulia</t>
  </si>
  <si>
    <t>Bulgaru Lara - Adela</t>
  </si>
  <si>
    <t>Butuc Matei</t>
  </si>
  <si>
    <t>Cedica Melisa</t>
  </si>
  <si>
    <t>Dipsan Alexandru - Florin</t>
  </si>
  <si>
    <t>Furtos Patricia</t>
  </si>
  <si>
    <t>Gabor Sara - Rebeca</t>
  </si>
  <si>
    <t>Ghib Denisa - Anastasia - Paula</t>
  </si>
  <si>
    <t>Haran Andrei</t>
  </si>
  <si>
    <t>Herlea Alexia - Ioana</t>
  </si>
  <si>
    <t>Magerusan Alexandru - Ilie</t>
  </si>
  <si>
    <t>Mailat Eduardo</t>
  </si>
  <si>
    <t>Marinoiu Andrei</t>
  </si>
  <si>
    <t>Mereucz Maria - Rebeca</t>
  </si>
  <si>
    <t>Mociar Maria - Dalia</t>
  </si>
  <si>
    <t>Mois Raluca - Maria</t>
  </si>
  <si>
    <t>Moldovan Alex</t>
  </si>
  <si>
    <t>Neagu Nicolas</t>
  </si>
  <si>
    <t>Nemes Mihail</t>
  </si>
  <si>
    <t>Obada Alex - Andrei</t>
  </si>
  <si>
    <t>Paraschiv Andrei - Cristian</t>
  </si>
  <si>
    <t>note ex 2024-2025</t>
  </si>
  <si>
    <t>Poleac Alexandra</t>
  </si>
  <si>
    <t>Pop Bogdan - Lucian</t>
  </si>
  <si>
    <t>Radu Nora</t>
  </si>
  <si>
    <t>Rotariu Sebastian - Ioan</t>
  </si>
  <si>
    <t>Simionescu Robert - Alexandru</t>
  </si>
  <si>
    <t>Szanto Raul - Lucian</t>
  </si>
  <si>
    <t>Trifa Iulia - Elena</t>
  </si>
  <si>
    <t>Vasarhelean Natalia - Rebeca</t>
  </si>
  <si>
    <t>Balea Alexia Natalia</t>
  </si>
  <si>
    <t>Bere Ricardo - Daniel</t>
  </si>
  <si>
    <t>Besenyei Alexandra</t>
  </si>
  <si>
    <t>Blaga Marius - Elisei</t>
  </si>
  <si>
    <t>Bodea Tudor</t>
  </si>
  <si>
    <t>R</t>
  </si>
  <si>
    <t>Bogdan Vlad Stefan</t>
  </si>
  <si>
    <t>Coanta Dan - George</t>
  </si>
  <si>
    <t>Cornici Maria - Andreea</t>
  </si>
  <si>
    <t>Cretu Cristina - Nicoleta</t>
  </si>
  <si>
    <t>Ghinda Alexandru - George</t>
  </si>
  <si>
    <t>Ghionaru Daria - Andreea</t>
  </si>
  <si>
    <t>Ghiurcanas Antonio - Alexandru</t>
  </si>
  <si>
    <t>Golban David</t>
  </si>
  <si>
    <t>Husariu Karina</t>
  </si>
  <si>
    <t>Mosutan Leonardo</t>
  </si>
  <si>
    <t>Nagy Taria - Izabela</t>
  </si>
  <si>
    <t>Neamtu Andrei Tudor</t>
  </si>
  <si>
    <t>Negru Laura Carina</t>
  </si>
  <si>
    <t>Oarga Darius - Eduard</t>
  </si>
  <si>
    <t>Osan Manuel - Stefan</t>
  </si>
  <si>
    <t>Pascu Crina - Cristina</t>
  </si>
  <si>
    <t>Pop Filip - Matei</t>
  </si>
  <si>
    <t>Pop Traian - Valentin</t>
  </si>
  <si>
    <t>Rusnac Greter - Noris</t>
  </si>
  <si>
    <t>Santa Ciprian Paul</t>
  </si>
  <si>
    <t>Scrob Calin - Radu</t>
  </si>
  <si>
    <t>Sighartau Lucas - Daniel</t>
  </si>
  <si>
    <t>Suteanu Mihai</t>
  </si>
  <si>
    <t>Usatiuc Sergiu</t>
  </si>
  <si>
    <t>Adam Ioana - Alexia</t>
  </si>
  <si>
    <t>Aparaschive Paul - Adrian</t>
  </si>
  <si>
    <t>Bobu Erik</t>
  </si>
  <si>
    <t>Bugeanu Elisa - Tabita</t>
  </si>
  <si>
    <t>Buzila Andreea - Maria</t>
  </si>
  <si>
    <t>Candrea Stefan - Iulian</t>
  </si>
  <si>
    <t>fara catalog</t>
  </si>
  <si>
    <t>Capitan Dragos - Mihai</t>
  </si>
  <si>
    <t>Ciobica Iustin - Constantin</t>
  </si>
  <si>
    <t>Ciutan Iulian Dan</t>
  </si>
  <si>
    <t>Danilevici Vlad</t>
  </si>
  <si>
    <t>Diaconescu Marian</t>
  </si>
  <si>
    <t>Dirle David - Constantin</t>
  </si>
  <si>
    <t>Ferastauaru Delia - Maria</t>
  </si>
  <si>
    <t>Florean Emilia - Alexandra</t>
  </si>
  <si>
    <t>Ghemes Alex - Stefanel</t>
  </si>
  <si>
    <t>Gliga Rares - Dumitru</t>
  </si>
  <si>
    <t>Jankovics Eduard</t>
  </si>
  <si>
    <t>Leonte Patricia - Mirabela</t>
  </si>
  <si>
    <t>Loga Andrei - Nicolae</t>
  </si>
  <si>
    <t>Lujerdean Fineas - Narcis</t>
  </si>
  <si>
    <t>Lupancu Gabriela - Valentina</t>
  </si>
  <si>
    <t>Moldovan Iuliana</t>
  </si>
  <si>
    <t>Ometita Iemima</t>
  </si>
  <si>
    <t>Oros Dominic - Marian</t>
  </si>
  <si>
    <t>Pop Razvan - Vasile</t>
  </si>
  <si>
    <t>Raduly Irina - Melinda</t>
  </si>
  <si>
    <t>Simbuan Narcis</t>
  </si>
  <si>
    <t>Spatar Andrei - Raul</t>
  </si>
  <si>
    <t>Stet Vasile - Alexandru</t>
  </si>
  <si>
    <t>Teodorescu Maria - Andreea</t>
  </si>
  <si>
    <t>Tunyogi Alexandra - Denisa</t>
  </si>
  <si>
    <t>Tomescu Lucas</t>
  </si>
  <si>
    <t>An3 30433</t>
  </si>
  <si>
    <t>Ortelecan Radu Andrei</t>
  </si>
  <si>
    <t>engleza</t>
  </si>
  <si>
    <t>an 3</t>
  </si>
  <si>
    <t>Albert L. Hunor - Istvan</t>
  </si>
  <si>
    <t>Iancu M. Raul - Andrei</t>
  </si>
  <si>
    <t>Kricsfalussy A.C. Lenard</t>
  </si>
  <si>
    <t>Luca - Ratiu C. Raul</t>
  </si>
  <si>
    <t>Morariu S.I. Arina - Ioana</t>
  </si>
  <si>
    <t>Pop F.S. Razvan</t>
  </si>
  <si>
    <t>Pruteanu S. Marius</t>
  </si>
  <si>
    <t>Serban G. Sebastian Mihai</t>
  </si>
  <si>
    <t>Sorochin A. Serghei</t>
  </si>
  <si>
    <t>Tulbure A. Robert - Alexandru</t>
  </si>
  <si>
    <t>an 4</t>
  </si>
  <si>
    <t>Bilan V. Viorel</t>
  </si>
  <si>
    <t>Drăgulin S. Silviu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</si>
</sst>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i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00"/>
      <name val="Aptos Narrow"/>
      <family val="2"/>
    </font>
    <font>
      <i/>
      <sz val="11"/>
      <name val="Aptos Narrow"/>
      <family val="2"/>
    </font>
    <font>
      <i/>
      <sz val="11"/>
      <color theme="0" tint="-0.249977111117893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AC57E"/>
        <bgColor rgb="FFFAC57E"/>
      </patternFill>
    </fill>
    <fill>
      <patternFill patternType="solid">
        <fgColor theme="6"/>
        <bgColor theme="6"/>
      </patternFill>
    </fill>
    <fill>
      <patternFill patternType="solid">
        <fgColor rgb="FF5F497A"/>
        <bgColor rgb="FF5F497A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AC57E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9BBB59"/>
        <bgColor theme="6"/>
      </patternFill>
    </fill>
    <fill>
      <patternFill patternType="solid">
        <fgColor theme="4" tint="0.79998168889431442"/>
        <bgColor rgb="FFCCC0D9"/>
      </patternFill>
    </fill>
    <fill>
      <patternFill patternType="solid">
        <fgColor rgb="FFEBF1DE"/>
        <bgColor rgb="FF00000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6">
    <xf numFmtId="0" fontId="0" fillId="0" borderId="0"/>
    <xf numFmtId="0" fontId="7" fillId="0" borderId="1"/>
    <xf numFmtId="0" fontId="7" fillId="0" borderId="1"/>
    <xf numFmtId="0" fontId="11" fillId="0" borderId="1"/>
    <xf numFmtId="0" fontId="6" fillId="0" borderId="1"/>
    <xf numFmtId="0" fontId="6" fillId="0" borderId="1"/>
    <xf numFmtId="0" fontId="6" fillId="0" borderId="1"/>
    <xf numFmtId="0" fontId="14" fillId="0" borderId="1"/>
    <xf numFmtId="0" fontId="5" fillId="0" borderId="1"/>
    <xf numFmtId="0" fontId="11" fillId="0" borderId="1"/>
    <xf numFmtId="9" fontId="11" fillId="0" borderId="1" applyFont="0" applyFill="0" applyBorder="0" applyAlignment="0" applyProtection="0"/>
    <xf numFmtId="0" fontId="4" fillId="0" borderId="1"/>
    <xf numFmtId="0" fontId="3" fillId="0" borderId="1"/>
    <xf numFmtId="0" fontId="2" fillId="0" borderId="1"/>
    <xf numFmtId="0" fontId="1" fillId="0" borderId="1"/>
    <xf numFmtId="0" fontId="21" fillId="0" borderId="1"/>
  </cellStyleXfs>
  <cellXfs count="87">
    <xf numFmtId="0" fontId="0" fillId="0" borderId="0" xfId="0"/>
    <xf numFmtId="0" fontId="10" fillId="0" borderId="1" xfId="7" applyFont="1" applyAlignment="1">
      <alignment vertical="center"/>
    </xf>
    <xf numFmtId="0" fontId="8" fillId="0" borderId="1" xfId="7" applyFont="1" applyAlignment="1">
      <alignment vertical="center"/>
    </xf>
    <xf numFmtId="0" fontId="9" fillId="0" borderId="1" xfId="7" applyFont="1" applyAlignment="1">
      <alignment horizontal="center" vertical="center"/>
    </xf>
    <xf numFmtId="0" fontId="14" fillId="0" borderId="1" xfId="7"/>
    <xf numFmtId="0" fontId="14" fillId="6" borderId="1" xfId="7" applyFill="1"/>
    <xf numFmtId="0" fontId="11" fillId="0" borderId="1" xfId="9"/>
    <xf numFmtId="2" fontId="11" fillId="0" borderId="1" xfId="9" applyNumberFormat="1"/>
    <xf numFmtId="164" fontId="11" fillId="0" borderId="1" xfId="10" applyNumberFormat="1" applyFont="1" applyBorder="1"/>
    <xf numFmtId="0" fontId="11" fillId="8" borderId="1" xfId="9" applyFill="1"/>
    <xf numFmtId="0" fontId="11" fillId="0" borderId="8" xfId="9" applyBorder="1"/>
    <xf numFmtId="0" fontId="13" fillId="0" borderId="9" xfId="9" applyFont="1" applyBorder="1"/>
    <xf numFmtId="0" fontId="13" fillId="0" borderId="10" xfId="9" applyFont="1" applyBorder="1"/>
    <xf numFmtId="0" fontId="11" fillId="0" borderId="7" xfId="9" applyBorder="1"/>
    <xf numFmtId="0" fontId="13" fillId="0" borderId="11" xfId="9" applyFont="1" applyBorder="1"/>
    <xf numFmtId="0" fontId="11" fillId="0" borderId="12" xfId="9" applyBorder="1"/>
    <xf numFmtId="0" fontId="11" fillId="0" borderId="13" xfId="9" applyBorder="1"/>
    <xf numFmtId="0" fontId="11" fillId="0" borderId="14" xfId="9" applyBorder="1"/>
    <xf numFmtId="0" fontId="11" fillId="0" borderId="5" xfId="9" applyBorder="1"/>
    <xf numFmtId="0" fontId="11" fillId="0" borderId="15" xfId="9" applyBorder="1"/>
    <xf numFmtId="0" fontId="11" fillId="0" borderId="16" xfId="9" applyBorder="1"/>
    <xf numFmtId="0" fontId="11" fillId="0" borderId="17" xfId="9" applyBorder="1"/>
    <xf numFmtId="0" fontId="11" fillId="0" borderId="10" xfId="9" applyBorder="1"/>
    <xf numFmtId="0" fontId="11" fillId="0" borderId="5" xfId="9" applyBorder="1" applyAlignment="1">
      <alignment horizontal="right"/>
    </xf>
    <xf numFmtId="0" fontId="11" fillId="0" borderId="6" xfId="9" applyBorder="1"/>
    <xf numFmtId="0" fontId="11" fillId="0" borderId="17" xfId="9" applyBorder="1" applyAlignment="1">
      <alignment horizontal="right"/>
    </xf>
    <xf numFmtId="0" fontId="14" fillId="0" borderId="18" xfId="7" applyBorder="1" applyAlignment="1">
      <alignment vertical="center" wrapText="1"/>
    </xf>
    <xf numFmtId="0" fontId="16" fillId="0" borderId="18" xfId="7" applyFont="1" applyBorder="1" applyAlignment="1">
      <alignment horizontal="center" vertical="center"/>
    </xf>
    <xf numFmtId="0" fontId="14" fillId="0" borderId="18" xfId="7" applyBorder="1" applyAlignment="1">
      <alignment horizontal="center" vertical="center"/>
    </xf>
    <xf numFmtId="0" fontId="14" fillId="2" borderId="18" xfId="7" applyFill="1" applyBorder="1" applyAlignment="1">
      <alignment horizontal="center" vertical="center"/>
    </xf>
    <xf numFmtId="0" fontId="14" fillId="3" borderId="18" xfId="7" applyFill="1" applyBorder="1" applyAlignment="1">
      <alignment horizontal="center" vertical="center"/>
    </xf>
    <xf numFmtId="0" fontId="14" fillId="4" borderId="18" xfId="7" applyFill="1" applyBorder="1" applyAlignment="1">
      <alignment horizontal="center" vertical="center"/>
    </xf>
    <xf numFmtId="0" fontId="14" fillId="0" borderId="19" xfId="7" applyBorder="1" applyAlignment="1">
      <alignment vertical="center" wrapText="1"/>
    </xf>
    <xf numFmtId="0" fontId="16" fillId="0" borderId="19" xfId="7" applyFont="1" applyBorder="1" applyAlignment="1">
      <alignment horizontal="center" vertical="center"/>
    </xf>
    <xf numFmtId="0" fontId="14" fillId="0" borderId="19" xfId="7" applyBorder="1" applyAlignment="1">
      <alignment horizontal="center" vertical="center"/>
    </xf>
    <xf numFmtId="0" fontId="14" fillId="2" borderId="19" xfId="7" applyFill="1" applyBorder="1" applyAlignment="1">
      <alignment horizontal="center" vertical="center"/>
    </xf>
    <xf numFmtId="0" fontId="14" fillId="3" borderId="19" xfId="7" applyFill="1" applyBorder="1" applyAlignment="1">
      <alignment horizontal="center" vertical="center"/>
    </xf>
    <xf numFmtId="0" fontId="14" fillId="4" borderId="19" xfId="7" applyFill="1" applyBorder="1" applyAlignment="1">
      <alignment horizontal="center" vertical="center"/>
    </xf>
    <xf numFmtId="2" fontId="16" fillId="0" borderId="19" xfId="7" applyNumberFormat="1" applyFont="1" applyBorder="1" applyAlignment="1">
      <alignment horizontal="center" vertical="center"/>
    </xf>
    <xf numFmtId="0" fontId="14" fillId="10" borderId="18" xfId="7" applyFill="1" applyBorder="1" applyAlignment="1">
      <alignment vertical="center" wrapText="1"/>
    </xf>
    <xf numFmtId="0" fontId="14" fillId="9" borderId="19" xfId="7" applyFill="1" applyBorder="1" applyAlignment="1">
      <alignment vertical="center" wrapText="1"/>
    </xf>
    <xf numFmtId="0" fontId="14" fillId="11" borderId="19" xfId="7" applyFill="1" applyBorder="1" applyAlignment="1">
      <alignment vertical="center" wrapText="1"/>
    </xf>
    <xf numFmtId="0" fontId="14" fillId="12" borderId="19" xfId="7" applyFill="1" applyBorder="1" applyAlignment="1">
      <alignment vertical="center" wrapText="1"/>
    </xf>
    <xf numFmtId="0" fontId="14" fillId="11" borderId="18" xfId="7" applyFill="1" applyBorder="1" applyAlignment="1">
      <alignment vertical="center" wrapText="1"/>
    </xf>
    <xf numFmtId="0" fontId="14" fillId="12" borderId="18" xfId="7" applyFill="1" applyBorder="1" applyAlignment="1">
      <alignment vertical="center" wrapText="1"/>
    </xf>
    <xf numFmtId="0" fontId="14" fillId="13" borderId="19" xfId="7" applyFill="1" applyBorder="1" applyAlignment="1">
      <alignment vertical="center" wrapText="1"/>
    </xf>
    <xf numFmtId="0" fontId="14" fillId="14" borderId="19" xfId="7" applyFill="1" applyBorder="1" applyAlignment="1">
      <alignment vertical="center" wrapText="1"/>
    </xf>
    <xf numFmtId="0" fontId="17" fillId="7" borderId="18" xfId="7" applyFont="1" applyFill="1" applyBorder="1" applyAlignment="1">
      <alignment horizontal="center" vertical="center"/>
    </xf>
    <xf numFmtId="0" fontId="18" fillId="7" borderId="18" xfId="7" applyFont="1" applyFill="1" applyBorder="1" applyAlignment="1">
      <alignment horizontal="center" vertical="center"/>
    </xf>
    <xf numFmtId="0" fontId="12" fillId="0" borderId="1" xfId="7" applyFont="1" applyAlignment="1">
      <alignment horizontal="center" vertical="center"/>
    </xf>
    <xf numFmtId="0" fontId="12" fillId="0" borderId="1" xfId="7" applyFont="1" applyAlignment="1">
      <alignment horizontal="center"/>
    </xf>
    <xf numFmtId="0" fontId="15" fillId="15" borderId="1" xfId="3" applyFont="1" applyFill="1"/>
    <xf numFmtId="0" fontId="15" fillId="15" borderId="1" xfId="3" applyFont="1" applyFill="1" applyAlignment="1">
      <alignment horizontal="center"/>
    </xf>
    <xf numFmtId="0" fontId="19" fillId="0" borderId="18" xfId="7" applyFont="1" applyBorder="1" applyAlignment="1">
      <alignment vertical="center" wrapText="1"/>
    </xf>
    <xf numFmtId="0" fontId="14" fillId="16" borderId="18" xfId="7" applyFill="1" applyBorder="1" applyAlignment="1">
      <alignment horizontal="center" vertical="center"/>
    </xf>
    <xf numFmtId="0" fontId="14" fillId="17" borderId="18" xfId="7" applyFill="1" applyBorder="1" applyAlignment="1">
      <alignment horizontal="center" vertical="center"/>
    </xf>
    <xf numFmtId="0" fontId="14" fillId="18" borderId="18" xfId="7" applyFill="1" applyBorder="1" applyAlignment="1">
      <alignment horizontal="center" vertical="center"/>
    </xf>
    <xf numFmtId="0" fontId="19" fillId="0" borderId="19" xfId="7" applyFont="1" applyBorder="1" applyAlignment="1">
      <alignment vertical="center" wrapText="1"/>
    </xf>
    <xf numFmtId="0" fontId="14" fillId="16" borderId="19" xfId="7" applyFill="1" applyBorder="1" applyAlignment="1">
      <alignment horizontal="center" vertical="center"/>
    </xf>
    <xf numFmtId="0" fontId="14" fillId="17" borderId="19" xfId="7" applyFill="1" applyBorder="1" applyAlignment="1">
      <alignment horizontal="center" vertical="center"/>
    </xf>
    <xf numFmtId="0" fontId="13" fillId="0" borderId="20" xfId="9" applyFont="1" applyBorder="1"/>
    <xf numFmtId="0" fontId="11" fillId="0" borderId="21" xfId="9" applyBorder="1"/>
    <xf numFmtId="0" fontId="11" fillId="0" borderId="22" xfId="9" applyBorder="1"/>
    <xf numFmtId="0" fontId="11" fillId="0" borderId="23" xfId="9" applyBorder="1"/>
    <xf numFmtId="0" fontId="1" fillId="0" borderId="1" xfId="14"/>
    <xf numFmtId="0" fontId="14" fillId="0" borderId="18" xfId="14" applyFont="1" applyBorder="1"/>
    <xf numFmtId="0" fontId="14" fillId="0" borderId="19" xfId="14" applyFont="1" applyBorder="1"/>
    <xf numFmtId="0" fontId="18" fillId="3" borderId="18" xfId="7" applyFont="1" applyFill="1" applyBorder="1" applyAlignment="1">
      <alignment horizontal="center" vertical="center"/>
    </xf>
    <xf numFmtId="0" fontId="18" fillId="4" borderId="18" xfId="7" applyFont="1" applyFill="1" applyBorder="1" applyAlignment="1">
      <alignment horizontal="center" vertical="center"/>
    </xf>
    <xf numFmtId="0" fontId="14" fillId="0" borderId="1" xfId="7" applyAlignment="1">
      <alignment horizontal="center"/>
    </xf>
    <xf numFmtId="0" fontId="20" fillId="5" borderId="18" xfId="7" applyFont="1" applyFill="1" applyBorder="1" applyAlignment="1">
      <alignment horizontal="center" vertical="center"/>
    </xf>
    <xf numFmtId="0" fontId="14" fillId="0" borderId="18" xfId="12" applyFont="1" applyBorder="1"/>
    <xf numFmtId="0" fontId="8" fillId="0" borderId="1" xfId="7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19" borderId="18" xfId="7" applyFill="1" applyBorder="1" applyAlignment="1">
      <alignment horizontal="center" vertical="center"/>
    </xf>
    <xf numFmtId="0" fontId="14" fillId="19" borderId="19" xfId="7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22" fillId="5" borderId="18" xfId="7" applyFont="1" applyFill="1" applyBorder="1" applyAlignment="1">
      <alignment horizontal="center" vertical="center"/>
    </xf>
    <xf numFmtId="0" fontId="19" fillId="0" borderId="1" xfId="7" applyFont="1"/>
    <xf numFmtId="0" fontId="23" fillId="7" borderId="18" xfId="7" applyFont="1" applyFill="1" applyBorder="1" applyAlignment="1">
      <alignment horizontal="center" vertical="center"/>
    </xf>
    <xf numFmtId="2" fontId="17" fillId="0" borderId="18" xfId="7" applyNumberFormat="1" applyFont="1" applyBorder="1" applyAlignment="1">
      <alignment horizontal="center" vertical="center"/>
    </xf>
    <xf numFmtId="2" fontId="17" fillId="0" borderId="19" xfId="7" applyNumberFormat="1" applyFont="1" applyBorder="1" applyAlignment="1">
      <alignment horizontal="center" vertical="center"/>
    </xf>
    <xf numFmtId="0" fontId="24" fillId="7" borderId="18" xfId="7" applyFont="1" applyFill="1" applyBorder="1" applyAlignment="1">
      <alignment horizontal="center" vertical="center"/>
    </xf>
    <xf numFmtId="0" fontId="9" fillId="0" borderId="2" xfId="7" applyFont="1" applyBorder="1" applyAlignment="1">
      <alignment horizontal="center" vertical="center"/>
    </xf>
    <xf numFmtId="0" fontId="9" fillId="0" borderId="3" xfId="7" applyFont="1" applyBorder="1" applyAlignment="1">
      <alignment horizontal="center" vertical="center"/>
    </xf>
    <xf numFmtId="0" fontId="10" fillId="0" borderId="4" xfId="7" applyFont="1" applyBorder="1" applyAlignment="1">
      <alignment vertical="center"/>
    </xf>
  </cellXfs>
  <cellStyles count="16">
    <cellStyle name="Normal" xfId="0" builtinId="0"/>
    <cellStyle name="Normal 2" xfId="2" xr:uid="{702C0061-B3AD-45EB-8FE3-F6B986FBA272}"/>
    <cellStyle name="Normal 2 2" xfId="5" xr:uid="{BD25BBFD-90FE-4422-885C-86B08E620135}"/>
    <cellStyle name="Normal 2 3" xfId="8" xr:uid="{CA8BB249-F0BC-461A-9B43-1927A55C2E9D}"/>
    <cellStyle name="Normal 2 3 2" xfId="11" xr:uid="{4E84A7AB-12DE-487A-80DA-2E73434B63A2}"/>
    <cellStyle name="Normal 2 3 2 2" xfId="12" xr:uid="{A00A8CB8-BE37-498C-812A-9329F83D72AF}"/>
    <cellStyle name="Normal 2 3 2 2 2" xfId="13" xr:uid="{BA64ABA2-D82C-4310-AB54-744E4E1A588D}"/>
    <cellStyle name="Normal 2 3 2 2 2 2" xfId="14" xr:uid="{2F9F908C-3965-455F-8188-7300EDDCE3D8}"/>
    <cellStyle name="Normal 3" xfId="1" xr:uid="{49053F50-010F-4C91-ADD8-76023E0CBFDF}"/>
    <cellStyle name="Normal 3 2" xfId="6" xr:uid="{8FDEBF57-BBB2-4D11-AFB0-128A2EB300D1}"/>
    <cellStyle name="Normal 4" xfId="3" xr:uid="{39053588-5C90-40B0-9BB2-0803D977D4CD}"/>
    <cellStyle name="Normal 5" xfId="4" xr:uid="{82D90826-B036-4B2F-BC71-F9C8DE724EA4}"/>
    <cellStyle name="Normal 6" xfId="7" xr:uid="{5D2217A4-452A-4F18-BA8B-F2791E9DBEFB}"/>
    <cellStyle name="Normal 6 2" xfId="9" xr:uid="{4799F697-3F3B-43F5-939F-3969A974A2F3}"/>
    <cellStyle name="Normal 7" xfId="15" xr:uid="{AD2DBB7F-4645-4524-A558-11FDC824FA49}"/>
    <cellStyle name="Percent 2" xfId="10" xr:uid="{773A4AE0-633E-4F2F-902B-CABB98809109}"/>
  </cellStyles>
  <dxfs count="65"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0" formatCode="General"/>
      <fill>
        <patternFill patternType="solid">
          <fgColor rgb="FF5F497A"/>
          <bgColor rgb="FF5F49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9BBB5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FAC57E"/>
          <bgColor rgb="FFFAC5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FAC57E"/>
          <bgColor rgb="FFFAC5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FAC5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FAC57E"/>
          <bgColor rgb="FFFAC57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CCC0D9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CCC0D9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CC0D9"/>
          <bgColor rgb="FFCCC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0070C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ont>
        <color rgb="FF9C0006"/>
      </font>
      <fill>
        <patternFill patternType="solid">
          <fgColor rgb="FFFFC7CE"/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Online_test-style" pivot="0" count="3" xr9:uid="{00000000-0011-0000-FFFF-FFFF00000000}"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stats_o!$G$5:$G$15</c:f>
              <c:numCache>
                <c:formatCode>General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-2</c:v>
                </c:pt>
              </c:numCache>
            </c:numRef>
          </c:xVal>
          <c:yVal>
            <c:numRef>
              <c:f>stats_o!$H$5:$H$15</c:f>
              <c:numCache>
                <c:formatCode>General</c:formatCode>
                <c:ptCount val="11"/>
                <c:pt idx="0">
                  <c:v>76</c:v>
                </c:pt>
                <c:pt idx="1">
                  <c:v>29</c:v>
                </c:pt>
                <c:pt idx="2">
                  <c:v>44</c:v>
                </c:pt>
                <c:pt idx="3">
                  <c:v>31</c:v>
                </c:pt>
                <c:pt idx="4">
                  <c:v>31</c:v>
                </c:pt>
                <c:pt idx="5">
                  <c:v>35</c:v>
                </c:pt>
                <c:pt idx="6">
                  <c:v>18</c:v>
                </c:pt>
                <c:pt idx="7">
                  <c:v>13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0-461A-A0E4-EA00ED80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92479"/>
        <c:axId val="1264693439"/>
      </c:scatterChart>
      <c:valAx>
        <c:axId val="126469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93439"/>
        <c:crosses val="autoZero"/>
        <c:crossBetween val="midCat"/>
      </c:valAx>
      <c:valAx>
        <c:axId val="12646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9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148590</xdr:colOff>
      <xdr:row>1</xdr:row>
      <xdr:rowOff>68580</xdr:rowOff>
    </xdr:from>
    <xdr:to>
      <xdr:col>22</xdr:col>
      <xdr:colOff>38100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41F10-1A71-4E11-887C-BB030B628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ra Laura Morar" id="{174DABF7-B7B9-4D01-AC5D-E5E37CE95A2C}" userId="S::dora.morar@campus.utcluj.ro::691b2f75-437c-4956-9ef4-f0e96cca3f61" providerId="AD"/>
  <person displayName="Paula Amalia Raica" id="{640AD9BB-CA43-41AE-9BCF-436D4B0A791A}" userId="S::Paula.Raica@campus.utcluj.ro::c7e1150c-e3bc-4e12-bfeb-9cc4e5e2b6d7" providerId="AD"/>
  <person displayName="Paula Amalia Raica" id="{7C4642BC-1CAE-42C3-BD2A-5A26AC3E1050}" userId="S::paula.raica@campus.utcluj.ro::c7e1150c-e3bc-4e12-bfeb-9cc4e5e2b6d7" providerId="AD"/>
  <person displayName="Simona Daiana Stiole" id="{760C0C8C-7771-4AC9-9353-D9319A593B5E}" userId="S::simona.stiole@campus.utcluj.ro::3b4cd9c0-691b-4206-a0ca-b164d609412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809BD-47D0-4348-AE36-DA065DFFFA25}" name="Table132" displayName="Table132" ref="A2:AA301" totalsRowShown="0" headerRowDxfId="29" dataDxfId="28" tableBorderDxfId="27">
  <autoFilter ref="A2:AA301" xr:uid="{4C1A476E-F14A-4CF5-B1E0-3E875EBB23EF}"/>
  <sortState xmlns:xlrd2="http://schemas.microsoft.com/office/spreadsheetml/2017/richdata2" ref="A3:AA301">
    <sortCondition ref="B2:B301"/>
  </sortState>
  <tableColumns count="27">
    <tableColumn id="1" xr3:uid="{85230C6D-8FE0-44D8-BDE8-F79DE24A26FA}" name="Nr." dataDxfId="26" dataCellStyle="Normal 6"/>
    <tableColumn id="26" xr3:uid="{92217199-61DF-47EA-8271-33B12F856D16}" name="ord" dataDxfId="25" dataCellStyle="Normal 6"/>
    <tableColumn id="2" xr3:uid="{40BF0950-78BB-4645-B7BB-ED4EF3851958}" name="grupa" dataDxfId="24" dataCellStyle="Normal 6"/>
    <tableColumn id="3" xr3:uid="{F3986839-7586-48CA-BD5A-379774CDC599}" name="Nume" dataDxfId="23" dataCellStyle="Normal 6"/>
    <tableColumn id="4" xr3:uid="{8A007BD3-70E9-40E8-9CAB-AEB171A4E854}" name="grupa lab" dataDxfId="22" dataCellStyle="Normal 6"/>
    <tableColumn id="5" xr3:uid="{98649D28-9932-4E45-A6B4-2E64E72C2D65}" name="Lab 1" dataDxfId="21" dataCellStyle="Normal 6"/>
    <tableColumn id="6" xr3:uid="{DE725EE8-B7F4-4A9E-875E-96DF2CF55EE2}" name="Lab2/T1" dataDxfId="20" dataCellStyle="Normal 6"/>
    <tableColumn id="7" xr3:uid="{0BD69414-A6B9-4F95-8E07-A0E41A049D20}" name="Lab3/T2" dataDxfId="19" dataCellStyle="Normal 6"/>
    <tableColumn id="8" xr3:uid="{F43045AD-3150-4B0E-BE51-160036B0C32F}" name="Lab4/T3" dataDxfId="18" dataCellStyle="Normal 6"/>
    <tableColumn id="9" xr3:uid="{B7A8DF77-2A6E-4704-9A0E-C60A1F943726}" name="Lab5/T4" dataDxfId="17" dataCellStyle="Normal 6"/>
    <tableColumn id="10" xr3:uid="{32951150-0590-4494-A9A0-46753A4E795D}" name="Lab6/T5" dataDxfId="16" dataCellStyle="Normal 6"/>
    <tableColumn id="11" xr3:uid="{66D61B67-598E-4296-A42A-BF48016D6BDC}" name="Lab 7" dataDxfId="15" dataCellStyle="Normal 6"/>
    <tableColumn id="12" xr3:uid="{A8098DEF-C0BB-4FE5-96DA-22F3EDB60E46}" name="Suma lab" dataDxfId="14" dataCellStyle="Normal 6">
      <calculatedColumnFormula>SUM(G3:K3)</calculatedColumnFormula>
    </tableColumn>
    <tableColumn id="27" xr3:uid="{A4D95EEC-7E8A-48A8-A28C-D89ADE64D45D}" name="Q1" dataDxfId="13" dataCellStyle="Normal 6"/>
    <tableColumn id="25" xr3:uid="{D622B8E7-B443-4762-9E38-9475CAE9076F}" name="Q2" dataDxfId="12" dataCellStyle="Normal 6"/>
    <tableColumn id="13" xr3:uid="{A6FDF2D3-572F-4B80-BDFC-8EF742798FDA}" name="Partial" dataDxfId="11" dataCellStyle="Normal 6"/>
    <tableColumn id="14" xr3:uid="{F1983351-3BCE-4982-BF11-C34A014CA414}" name="Iunie" dataDxfId="10" dataCellStyle="Normal 6"/>
    <tableColumn id="15" xr3:uid="{79CE2915-D8ED-4BC0-B903-9BAE01C21C5B}" name="re1p" dataDxfId="9" dataCellStyle="Normal 6"/>
    <tableColumn id="16" xr3:uid="{DE1F42E6-31C5-4938-B99B-6D7BD5D3DCF9}" name="re2p" dataDxfId="8" dataCellStyle="Normal 6"/>
    <tableColumn id="17" xr3:uid="{32F1677B-5FB7-485D-91D6-EF5F36AD6C48}" name="Final" dataDxfId="7" dataCellStyle="Normal 6"/>
    <tableColumn id="18" xr3:uid="{D1925D4A-40BB-415D-B210-7FED46C50A83}" name="re1f" dataDxfId="6" dataCellStyle="Normal 6"/>
    <tableColumn id="19" xr3:uid="{9C049A19-0B64-4CCB-BB14-CE3CFD6B7D22}" name="re2f" dataDxfId="5" dataCellStyle="Normal 6"/>
    <tableColumn id="20" xr3:uid="{1D90B82A-0989-44ED-A322-1C8E5EA3EE5C}" name="Total" dataDxfId="4" dataCellStyle="Normal 6">
      <calculatedColumnFormula>Table132[[#This Row],[Suma lab]]+Table132[[#This Row],[Q1]]+Table132[[#This Row],[Q2]]+MAX(Table132[[#This Row],[Partial]:[re2p]])+MAX(Table132[[#This Row],[Final]:[re2f]])</calculatedColumnFormula>
    </tableColumn>
    <tableColumn id="21" xr3:uid="{0C6A2CF6-851C-46A1-9310-3E35776D9836}" name="Nota" dataDxfId="3" dataCellStyle="Normal 6">
      <calculatedColumnFormula>IF(Table132[[#This Row],[Total]]&gt;=9.5, 10, ROUND(Table132[[#This Row],[Total]],0))</calculatedColumnFormula>
    </tableColumn>
    <tableColumn id="22" xr3:uid="{5C428124-6DCC-4EA5-BA1C-6B7F2B44D132}" name="maxp" dataDxfId="2" dataCellStyle="Normal 6"/>
    <tableColumn id="23" xr3:uid="{2B2186C3-7DCF-4B1F-AD89-2678E11EE476}" name="maxf" dataDxfId="1" dataCellStyle="Normal 6"/>
    <tableColumn id="24" xr3:uid="{4A14957A-64CD-422F-955F-1BF4027DCB6D}" name="Obs" dataDxfId="0" dataCellStyle="Normal 2 3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6-06-02T05:58:51.72" personId="{760C0C8C-7771-4AC9-9353-D9319A593B5E}" id="{DE92E7BB-4153-4B5A-8F1A-9F1E008E37C4}">
    <text>cu grupa 2/1</text>
  </threadedComment>
  <threadedComment ref="K9" dT="2026-05-22T06:49:13.60" personId="{174DABF7-B7B9-4D01-AC5D-E5E37CE95A2C}" id="{AAF44513-DFA9-478A-B743-1905682BD3CB}">
    <text>cu g7</text>
  </threadedComment>
  <threadedComment ref="L13" dT="2026-05-29T07:25:36.27" personId="{174DABF7-B7B9-4D01-AC5D-E5E37CE95A2C}" id="{1C50522B-19B1-4444-AA5F-34324A45B16C}">
    <text>cu g7</text>
  </threadedComment>
  <threadedComment ref="J25" dT="2026-04-28T09:46:25.56" personId="{760C0C8C-7771-4AC9-9353-D9319A593B5E}" id="{E0024D79-3C8F-40FD-B4D1-9478CE6838A2}">
    <text>cu grupa 5/2</text>
  </threadedComment>
  <threadedComment ref="L26" dT="2026-06-02T05:58:51.72" personId="{760C0C8C-7771-4AC9-9353-D9319A593B5E}" id="{4D4631A1-43A8-4E2E-BCA3-3711A6F890F1}">
    <text>cu grupa 2/1</text>
  </threadedComment>
  <threadedComment ref="J32" dT="2026-05-07T14:07:49.04" personId="{760C0C8C-7771-4AC9-9353-D9319A593B5E}" id="{CC4E2604-D688-4C34-B4CA-604ED0675F93}">
    <text>cu grupa 4/1</text>
  </threadedComment>
  <threadedComment ref="L32" dT="2026-06-04T09:20:59.17" personId="{760C0C8C-7771-4AC9-9353-D9319A593B5E}" id="{0E7DE0CF-DFC7-4820-AF36-7C0B247509B3}">
    <text>cu grupa 3/1</text>
  </threadedComment>
  <threadedComment ref="J33" dT="2026-05-07T14:09:09.29" personId="{760C0C8C-7771-4AC9-9353-D9319A593B5E}" id="{8ECD0CB9-1F1E-4D43-ADF1-720470A4B7E9}">
    <text>cu grupa 4/1</text>
  </threadedComment>
  <threadedComment ref="L33" dT="2026-05-26T09:30:59.47" personId="{760C0C8C-7771-4AC9-9353-D9319A593B5E}" id="{CADA0977-57E0-4B87-91C2-5E61C81A32BD}">
    <text>cu grupa 5/2</text>
  </threadedComment>
  <threadedComment ref="H35" dT="2026-04-07T10:12:52.87" personId="{760C0C8C-7771-4AC9-9353-D9319A593B5E}" id="{F1DBFED4-3FB1-41E7-B7CB-1EBC0083E5B3}">
    <text>cu grupa 5/1</text>
  </threadedComment>
  <threadedComment ref="J35" dT="2026-05-07T14:09:02.09" personId="{760C0C8C-7771-4AC9-9353-D9319A593B5E}" id="{A54B8896-A251-4C0B-9B98-3447F061EDE9}">
    <text>cu grupa 4/1</text>
  </threadedComment>
  <threadedComment ref="J43" dT="2026-05-05T09:50:28.12" personId="{760C0C8C-7771-4AC9-9353-D9319A593B5E}" id="{92EDA10D-BB63-4F87-A6DB-ABDA65B8BFD8}">
    <text>cu grupa 5/1</text>
  </threadedComment>
  <threadedComment ref="I46" dT="2026-04-21T10:43:12.78" personId="{760C0C8C-7771-4AC9-9353-D9319A593B5E}" id="{C52B4FFA-E84F-4C49-807B-D864BF840661}">
    <text>cu grupa 5/1</text>
  </threadedComment>
  <threadedComment ref="J58" dT="2026-05-07T14:09:34.73" personId="{760C0C8C-7771-4AC9-9353-D9319A593B5E}" id="{A93B122B-05FA-4F12-8B68-BC4C5B005C0E}">
    <text>cu grupa 4/1</text>
  </threadedComment>
  <threadedComment ref="L58" dT="2026-06-02T09:51:02.92" personId="{760C0C8C-7771-4AC9-9353-D9319A593B5E}" id="{302E59A1-2C46-4F5A-8CC9-BB8D6A19FDD3}">
    <text>cu grupa 5/1</text>
  </threadedComment>
  <threadedComment ref="H60" dT="2026-04-02T14:29:31.26" personId="{760C0C8C-7771-4AC9-9353-D9319A593B5E}" id="{3F6BEE44-2E6B-409E-8A1B-EFE0C50F66B8}">
    <text>cu grupa 4/2</text>
  </threadedComment>
  <threadedComment ref="L60" dT="2026-06-02T05:57:43.81" personId="{760C0C8C-7771-4AC9-9353-D9319A593B5E}" id="{60DD38F7-C5F7-4E23-B4D8-2BC181F67216}">
    <text>cu grupa 2/1</text>
  </threadedComment>
  <threadedComment ref="H65" dT="2026-04-07T10:13:36.17" personId="{760C0C8C-7771-4AC9-9353-D9319A593B5E}" id="{CD6078C1-3ED1-42DA-B620-7634631D0D0A}">
    <text>cu grupa 5/1</text>
  </threadedComment>
  <threadedComment ref="H67" dT="2026-04-07T06:37:16.89" personId="{760C0C8C-7771-4AC9-9353-D9319A593B5E}" id="{6F28889D-D85A-46C0-A690-FDB06C357BDF}">
    <text>cu grupa 2/1</text>
  </threadedComment>
  <threadedComment ref="H68" dT="2026-04-07T06:38:00.17" personId="{760C0C8C-7771-4AC9-9353-D9319A593B5E}" id="{93A3C391-436A-488F-8ABC-CB111DC35FF1}">
    <text>cu grupa 2/1</text>
  </threadedComment>
  <threadedComment ref="L70" dT="2026-05-28T13:47:19.05" personId="{760C0C8C-7771-4AC9-9353-D9319A593B5E}" id="{41C49B2D-4E30-4C5D-8807-8AC6425CB1BD}">
    <text>cu grupa 4/2</text>
  </threadedComment>
  <threadedComment ref="H71" dT="2026-04-07T06:37:40.95" personId="{760C0C8C-7771-4AC9-9353-D9319A593B5E}" id="{FC9CFCEB-D50B-457D-BFB1-639436610491}">
    <text>cu grupa 2/1</text>
  </threadedComment>
  <threadedComment ref="J74" dT="2026-05-07T14:02:11.96" personId="{760C0C8C-7771-4AC9-9353-D9319A593B5E}" id="{9C052386-C5F1-4BE0-BF42-4204C7AEF9B8}">
    <text>cu grupa 4/1</text>
  </threadedComment>
  <threadedComment ref="I75" dT="2026-04-21T07:37:25.03" personId="{760C0C8C-7771-4AC9-9353-D9319A593B5E}" id="{956FC94C-D3F6-42B6-95D0-5C11A2B0CB14}">
    <text>cu grupa 2/1</text>
  </threadedComment>
  <threadedComment ref="J75" dT="2026-05-07T14:04:00.13" personId="{760C0C8C-7771-4AC9-9353-D9319A593B5E}" id="{B32589AA-56F8-47B5-A3A6-69E36095D202}">
    <text>cu grupa 4/1</text>
  </threadedComment>
  <threadedComment ref="J76" dT="2026-05-13T08:45:42.79" personId="{174DABF7-B7B9-4D01-AC5D-E5E37CE95A2C}" id="{169427EF-6408-44A6-A78A-801D93844ECD}">
    <text>cu g7</text>
  </threadedComment>
  <threadedComment ref="L76" dT="2026-06-08T05:23:45.64" personId="{174DABF7-B7B9-4D01-AC5D-E5E37CE95A2C}" id="{682995A3-C37D-4BEA-A0B8-2E9EB4896CDB}">
    <text>cu g7</text>
  </threadedComment>
  <threadedComment ref="I77" dT="2026-04-21T07:37:28.43" personId="{760C0C8C-7771-4AC9-9353-D9319A593B5E}" id="{4EE234D0-582E-4A68-AA50-D9F043423094}">
    <text>cu grupa 2/1</text>
  </threadedComment>
  <threadedComment ref="J78" dT="2026-05-07T14:04:33.26" personId="{760C0C8C-7771-4AC9-9353-D9319A593B5E}" id="{E09206E5-D575-4EE0-BF3F-68ECCF46BB16}">
    <text>cu grupa 4/1</text>
  </threadedComment>
  <threadedComment ref="J79" dT="2026-05-07T14:04:49.21" personId="{760C0C8C-7771-4AC9-9353-D9319A593B5E}" id="{4783CA16-97A8-4A43-9E68-D7937BEDC425}">
    <text>cu grupa 4/1</text>
  </threadedComment>
  <threadedComment ref="J80" dT="2026-05-07T14:04:52.73" personId="{760C0C8C-7771-4AC9-9353-D9319A593B5E}" id="{2C66A8A9-A2F1-4184-BC2C-B41951ACD438}">
    <text>cu grupa 4/1</text>
  </threadedComment>
  <threadedComment ref="J81" dT="2026-05-07T14:04:57.05" personId="{760C0C8C-7771-4AC9-9353-D9319A593B5E}" id="{6ECD7931-9F8B-4572-8E0C-5F6BD6B059D3}">
    <text>cu grupa 4/1</text>
  </threadedComment>
  <threadedComment ref="J82" dT="2026-05-07T14:05:12.19" personId="{760C0C8C-7771-4AC9-9353-D9319A593B5E}" id="{D1FDB2F1-5692-480C-A562-422FE795042F}">
    <text>cu grupa 4/1</text>
  </threadedComment>
  <threadedComment ref="J83" dT="2026-05-07T14:05:16.26" personId="{760C0C8C-7771-4AC9-9353-D9319A593B5E}" id="{B1FBE1C6-4E80-4390-82CA-4B5E463D10AA}">
    <text>cu grupa 4/1</text>
  </threadedComment>
  <threadedComment ref="H84" dT="2026-04-02T14:29:12.37" personId="{760C0C8C-7771-4AC9-9353-D9319A593B5E}" id="{F6D93A4C-4416-4B65-A63C-1243507A0D48}">
    <text>cu grupa 4/2</text>
  </threadedComment>
  <threadedComment ref="I84" dT="2026-04-23T15:10:27.75" personId="{760C0C8C-7771-4AC9-9353-D9319A593B5E}" id="{7286352E-4FA5-46E5-AA18-60BB8D8AC8DA}">
    <text>cu grupa 4/1</text>
  </threadedComment>
  <threadedComment ref="J84" dT="2026-05-07T14:05:19.82" personId="{760C0C8C-7771-4AC9-9353-D9319A593B5E}" id="{94C88CF4-DF02-4E3F-945C-1331E66B4ED2}">
    <text>cu grupa 4/1</text>
  </threadedComment>
  <threadedComment ref="J85" dT="2026-05-07T14:05:23.66" personId="{760C0C8C-7771-4AC9-9353-D9319A593B5E}" id="{23480EFE-4A8F-4369-82BC-FA19FE7A6098}">
    <text>cu grupa 4/1</text>
  </threadedComment>
  <threadedComment ref="J86" dT="2026-05-07T14:05:27.51" personId="{760C0C8C-7771-4AC9-9353-D9319A593B5E}" id="{65A801BB-8EC5-4DC9-8BDF-CD150620C73B}">
    <text>cu grupa 4/1</text>
  </threadedComment>
  <threadedComment ref="H87" dT="2026-04-09T10:09:47.78" personId="{760C0C8C-7771-4AC9-9353-D9319A593B5E}" id="{5E7CBA7C-D698-4E7E-B2AD-68DB3D4DF575}">
    <text>cu grupa 3/1</text>
  </threadedComment>
  <threadedComment ref="L87" dT="2026-05-28T09:47:22.11" personId="{760C0C8C-7771-4AC9-9353-D9319A593B5E}" id="{BF6F5D4D-0B67-4F90-82C1-B7109CA3D64B}">
    <text>cu grupa 3/2</text>
  </threadedComment>
  <threadedComment ref="H90" dT="2026-04-07T10:12:24.61" personId="{760C0C8C-7771-4AC9-9353-D9319A593B5E}" id="{829538FB-4DFE-4D83-A4E7-E6209D5931F0}">
    <text>cu grupa 5/1</text>
  </threadedComment>
  <threadedComment ref="L90" dT="2026-05-28T09:47:33.58" personId="{760C0C8C-7771-4AC9-9353-D9319A593B5E}" id="{9372D818-093F-4207-A2E5-48C92B67D139}">
    <text>cu grupa 3/2</text>
  </threadedComment>
  <threadedComment ref="L91" dT="2026-05-27T13:49:36.90" personId="{760C0C8C-7771-4AC9-9353-D9319A593B5E}" id="{1BE4899F-0CD1-41FA-B8DD-10CB329ACD08}">
    <text>cu grupa 6/2</text>
  </threadedComment>
  <threadedComment ref="H92" dT="2026-04-02T14:29:49.98" personId="{760C0C8C-7771-4AC9-9353-D9319A593B5E}" id="{7347A585-9DCC-4155-832D-6B6AAD7C5C37}">
    <text>cu grupa 4/2</text>
  </threadedComment>
  <threadedComment ref="L92" dT="2026-05-28T09:47:47.56" personId="{760C0C8C-7771-4AC9-9353-D9319A593B5E}" id="{071D8C86-4D9A-439A-9593-EFE2E762BD07}">
    <text>cu grupa 3/2</text>
  </threadedComment>
  <threadedComment ref="H93" dT="2026-04-07T06:35:40.68" personId="{760C0C8C-7771-4AC9-9353-D9319A593B5E}" id="{52AFB8B1-EB76-45C7-BCB2-0C5880C663FB}">
    <text>cu grupa 2/1</text>
  </threadedComment>
  <threadedComment ref="H94" dT="2026-04-07T06:38:52.83" personId="{760C0C8C-7771-4AC9-9353-D9319A593B5E}" id="{4F2E650D-1A7D-49CD-A27A-3F599BC053CE}">
    <text>cu grupa 2/1</text>
  </threadedComment>
  <threadedComment ref="J94" dT="2026-05-05T09:49:53.07" personId="{760C0C8C-7771-4AC9-9353-D9319A593B5E}" id="{97D145EB-ABBA-41AE-B4DA-25CCBF6947CC}">
    <text>cu grupa 5/1</text>
  </threadedComment>
  <threadedComment ref="L94" dT="2026-05-28T09:47:59.14" personId="{760C0C8C-7771-4AC9-9353-D9319A593B5E}" id="{234EAC41-955E-4332-81A7-E4C9EB920EBC}">
    <text>cu grupa 3/2</text>
  </threadedComment>
  <threadedComment ref="H96" dT="2026-04-07T10:12:39.00" personId="{760C0C8C-7771-4AC9-9353-D9319A593B5E}" id="{0CFAD36D-34E5-4788-B5D8-3E3252CA1D6F}">
    <text>cu grupa 5/1</text>
  </threadedComment>
  <threadedComment ref="H97" dT="2026-04-09T10:09:58.33" personId="{760C0C8C-7771-4AC9-9353-D9319A593B5E}" id="{98A902F9-1787-4F19-85BE-F9D2ED951C6C}">
    <text>cu grupa 3/1</text>
  </threadedComment>
  <threadedComment ref="L97" dT="2026-06-02T05:58:05.27" personId="{760C0C8C-7771-4AC9-9353-D9319A593B5E}" id="{F77BB846-82F4-4CBA-8B51-8415F486C778}">
    <text>cu grupa 2/1</text>
  </threadedComment>
  <threadedComment ref="H98" dT="2026-04-09T10:09:28.46" personId="{760C0C8C-7771-4AC9-9353-D9319A593B5E}" id="{845DB215-C55C-41FC-8B99-02561062ACFD}">
    <text>cu grupa 3/1</text>
  </threadedComment>
  <threadedComment ref="H99" dT="2026-04-07T06:39:15.22" personId="{760C0C8C-7771-4AC9-9353-D9319A593B5E}" id="{01D43B26-1D82-4BEB-AF9C-846B288B473C}">
    <text>cu grupa 2/1</text>
  </threadedComment>
  <threadedComment ref="L99" dT="2026-06-04T09:19:50.54" personId="{760C0C8C-7771-4AC9-9353-D9319A593B5E}" id="{13DC509C-1BAA-4A36-8383-14263AB0EF2D}">
    <text>cu grupa 3/1</text>
  </threadedComment>
  <threadedComment ref="H100" dT="2026-04-07T10:13:13.15" personId="{760C0C8C-7771-4AC9-9353-D9319A593B5E}" id="{0E570748-1AA7-49A6-B832-B6571E7B7B65}">
    <text>cu grupa 5/1</text>
  </threadedComment>
  <threadedComment ref="L100" dT="2026-05-28T09:48:27.39" personId="{760C0C8C-7771-4AC9-9353-D9319A593B5E}" id="{B51D11D4-E08E-4258-BB9B-256D2216A357}">
    <text>cu grupa 3/2</text>
  </threadedComment>
  <threadedComment ref="H101" dT="2026-04-07T10:12:08.25" personId="{760C0C8C-7771-4AC9-9353-D9319A593B5E}" id="{99307A5E-49D4-4603-9A36-503D487A45A0}">
    <text>cu grupa 5/1</text>
  </threadedComment>
  <threadedComment ref="J101" dT="2026-05-05T09:50:05.93" personId="{760C0C8C-7771-4AC9-9353-D9319A593B5E}" id="{9BB74426-5E87-4CB0-88E5-116C6B888F9A}">
    <text>cu grupa 5/1</text>
  </threadedComment>
  <threadedComment ref="L101" dT="2026-05-28T09:48:11.01" personId="{760C0C8C-7771-4AC9-9353-D9319A593B5E}" id="{A9205C1D-8681-415D-B731-0E17F4CC1ADE}">
    <text>cu grupa 3/2</text>
  </threadedComment>
  <threadedComment ref="H102" dT="2026-04-09T10:10:14.13" personId="{760C0C8C-7771-4AC9-9353-D9319A593B5E}" id="{05082366-FC46-41BF-B700-A3AE46A22010}">
    <text>cu grupa 3/1</text>
  </threadedComment>
  <threadedComment ref="L102" dT="2026-05-28T09:48:42.25" personId="{760C0C8C-7771-4AC9-9353-D9319A593B5E}" id="{CAFC740C-5D62-4C78-BB19-00331F0F6DE8}">
    <text>cu grupa 3/2</text>
  </threadedComment>
  <threadedComment ref="H103" dT="2026-04-02T10:22:55.87" personId="{760C0C8C-7771-4AC9-9353-D9319A593B5E}" id="{3C9196C8-892F-4760-B1A0-C268D078AC2D}">
    <text>cu grupa 3/2</text>
  </threadedComment>
  <threadedComment ref="J103" dT="2026-04-28T06:26:48.72" personId="{760C0C8C-7771-4AC9-9353-D9319A593B5E}" id="{6B20D4D2-D722-4328-B8D9-635AD7D400C8}">
    <text>cu grupa 2/2</text>
  </threadedComment>
  <threadedComment ref="H104" dT="2026-04-02T10:22:40.62" personId="{760C0C8C-7771-4AC9-9353-D9319A593B5E}" id="{1AA29E3E-950E-44F4-9693-ED8D9D6BE90E}">
    <text>cu grupa 3/2</text>
  </threadedComment>
  <threadedComment ref="J104" dT="2026-05-07T09:44:39.80" personId="{760C0C8C-7771-4AC9-9353-D9319A593B5E}" id="{23842E43-1C92-453C-A4E4-0900CC610928}">
    <text>cu grupa 3/1</text>
  </threadedComment>
  <threadedComment ref="L104" dT="2026-05-28T09:48:53.64" personId="{760C0C8C-7771-4AC9-9353-D9319A593B5E}" id="{0C0F46F1-97C9-4CF6-87FC-BD2951EF53CA}">
    <text>cu grupa 3/2</text>
  </threadedComment>
  <threadedComment ref="J105" dT="2026-05-05T06:29:49.05" personId="{760C0C8C-7771-4AC9-9353-D9319A593B5E}" id="{86FD7652-9F5C-448E-A988-FFD8231C68D4}">
    <text>cu grupa 2/1</text>
  </threadedComment>
  <threadedComment ref="L105" dT="2026-05-27T13:49:20.39" personId="{760C0C8C-7771-4AC9-9353-D9319A593B5E}" id="{1060A535-A365-44F1-BC7D-7C62EAE7D322}">
    <text>cu grupa 6/2</text>
  </threadedComment>
  <threadedComment ref="J106" dT="2026-05-05T06:30:17.02" personId="{760C0C8C-7771-4AC9-9353-D9319A593B5E}" id="{D7FEBE7F-C758-46D5-8F2C-E7D6466A9CD9}">
    <text>cu grupa 2/1</text>
  </threadedComment>
  <threadedComment ref="L106" dT="2026-05-27T13:49:02.92" personId="{760C0C8C-7771-4AC9-9353-D9319A593B5E}" id="{AFD98DA3-700C-4F37-AC62-996D4BDFC1CF}">
    <text>cu grupa 6/2</text>
  </threadedComment>
  <threadedComment ref="J107" dT="2026-04-28T06:27:19.86" personId="{760C0C8C-7771-4AC9-9353-D9319A593B5E}" id="{AE0D1801-81AE-43A6-8991-DA77FFD70234}">
    <text>cu grupa 2/2</text>
  </threadedComment>
  <threadedComment ref="J108" dT="2026-04-28T06:27:31.32" personId="{760C0C8C-7771-4AC9-9353-D9319A593B5E}" id="{9DDE6FD4-F098-46F4-B417-26A1118EE3AE}">
    <text>cu grupa 2/2</text>
  </threadedComment>
  <threadedComment ref="K108" dT="2026-05-12T10:09:29.64" personId="{760C0C8C-7771-4AC9-9353-D9319A593B5E}" id="{6A7B77F7-0E6A-4911-89C9-0942D328D05E}">
    <text>cu grupa 5/2</text>
  </threadedComment>
  <threadedComment ref="F109" dT="2026-03-10T12:03:57.79" personId="{760C0C8C-7771-4AC9-9353-D9319A593B5E}" id="{5EB772B3-AA22-4047-AAB1-67076CCDDC5A}">
    <text>cu grupa 5/1</text>
  </threadedComment>
  <threadedComment ref="J109" dT="2026-04-28T06:27:48.07" personId="{760C0C8C-7771-4AC9-9353-D9319A593B5E}" id="{ED4E6977-79E5-46C7-A16A-48B63EC18B0C}">
    <text>cu grupa 2/2</text>
  </threadedComment>
  <threadedComment ref="J110" dT="2026-04-28T06:28:06.49" personId="{760C0C8C-7771-4AC9-9353-D9319A593B5E}" id="{9362FA6D-5250-4392-B5FC-4AAB989B0A1E}">
    <text>cu grupa 2/2</text>
  </threadedComment>
  <threadedComment ref="L111" dT="2026-05-28T10:26:02.42" personId="{760C0C8C-7771-4AC9-9353-D9319A593B5E}" id="{4BC01B35-9799-4B41-9B00-B8F889EF96FA}">
    <text>cu grupa 3/2</text>
  </threadedComment>
  <threadedComment ref="J112" dT="2026-04-28T06:28:43.85" personId="{760C0C8C-7771-4AC9-9353-D9319A593B5E}" id="{153473CF-CFFA-4879-A746-DE6A3D95CCE0}">
    <text>cu grupa 2/2</text>
  </threadedComment>
  <threadedComment ref="L113" dT="2026-05-27T13:48:27.06" personId="{760C0C8C-7771-4AC9-9353-D9319A593B5E}" id="{E29F0269-8EAC-434E-8539-B9CEF93AED3F}">
    <text>cu grupa 6/2</text>
  </threadedComment>
  <threadedComment ref="I114" dT="2026-04-23T10:52:06.15" personId="{760C0C8C-7771-4AC9-9353-D9319A593B5E}" id="{23348A77-0F4D-40E2-AC4A-6A1991201D4F}">
    <text>cu grupa 3/1</text>
  </threadedComment>
  <threadedComment ref="J114" dT="2026-04-28T06:29:07.08" personId="{760C0C8C-7771-4AC9-9353-D9319A593B5E}" id="{AC5F67A1-D10E-4113-9994-2B1731ABDC57}">
    <text>cu grupa 2/2</text>
  </threadedComment>
  <threadedComment ref="L114" dT="2026-05-27T13:48:39.95" personId="{760C0C8C-7771-4AC9-9353-D9319A593B5E}" id="{32DE2B42-31D6-455F-BF6B-6D0806E2A5C0}">
    <text>cu grupa 6/2</text>
  </threadedComment>
  <threadedComment ref="J115" dT="2026-04-28T06:29:20.44" personId="{760C0C8C-7771-4AC9-9353-D9319A593B5E}" id="{87B6E875-46BA-4CFE-B501-B8D2B9EB31A1}">
    <text>cu grupa 2/2</text>
  </threadedComment>
  <threadedComment ref="I120" dT="2026-04-24T11:26:58.57" personId="{174DABF7-B7B9-4D01-AC5D-E5E37CE95A2C}" id="{2D6A1F9B-C27E-45C4-8398-2C298C670F56}">
    <text>cu g3 en</text>
  </threadedComment>
  <threadedComment ref="L123" dT="2026-06-04T09:19:50.54" personId="{760C0C8C-7771-4AC9-9353-D9319A593B5E}" id="{D317E168-ACD9-4E0F-A444-B190CF07753F}">
    <text>cu grupa 3/1</text>
  </threadedComment>
  <threadedComment ref="J127" dT="2026-05-07T09:44:13.59" personId="{760C0C8C-7771-4AC9-9353-D9319A593B5E}" id="{6D9C405F-3062-41DD-9F95-CF51AE81D94F}">
    <text>cu grupa 3/1</text>
  </threadedComment>
  <threadedComment ref="L128" dT="2026-06-04T09:19:50.54" personId="{760C0C8C-7771-4AC9-9353-D9319A593B5E}" id="{4E644499-2211-4E5A-B783-D8303BB2B406}">
    <text>cu grupa 3/1</text>
  </threadedComment>
  <threadedComment ref="L134" dT="2026-05-28T09:49:32.73" personId="{760C0C8C-7771-4AC9-9353-D9319A593B5E}" id="{A1A541C9-5348-4E49-A37E-1A7C86727272}">
    <text>cu grupa 3/2</text>
  </threadedComment>
  <threadedComment ref="H136" dT="2026-04-07T10:11:19.37" personId="{760C0C8C-7771-4AC9-9353-D9319A593B5E}" id="{CB69A84A-8060-4F47-9BF0-8B4ED24961DA}">
    <text>cu grupa 5/1</text>
  </threadedComment>
  <threadedComment ref="H139" dT="2026-04-07T10:11:36.26" personId="{760C0C8C-7771-4AC9-9353-D9319A593B5E}" id="{0EC53740-C075-4AC9-B97E-A0F41C8107AE}">
    <text>cu grupa 5/1</text>
  </threadedComment>
  <threadedComment ref="I144" dT="2026-04-21T07:34:19.35" personId="{760C0C8C-7771-4AC9-9353-D9319A593B5E}" id="{C83942B9-EB52-405E-926E-EEFD974A3EF8}">
    <text>cu grupa 2/1</text>
  </threadedComment>
  <threadedComment ref="H176" dT="2026-04-07T06:36:30.39" personId="{760C0C8C-7771-4AC9-9353-D9319A593B5E}" id="{E9CEAF0E-CC2B-42B3-AE10-8563B5B11139}">
    <text>cu grupa 2/1</text>
  </threadedComment>
  <threadedComment ref="H181" dT="2026-04-07T06:36:47.50" personId="{760C0C8C-7771-4AC9-9353-D9319A593B5E}" id="{EB375626-D7F5-4060-97C3-570F0B42F01F}">
    <text>cu grupa 2/1</text>
  </threadedComment>
  <threadedComment ref="J181" dT="2026-05-13T08:47:35.06" personId="{174DABF7-B7B9-4D01-AC5D-E5E37CE95A2C}" id="{9872248C-A583-4F6C-997D-7DAAF045F22C}">
    <text>cu g3eng</text>
  </threadedComment>
  <threadedComment ref="F183" dT="2026-04-01T14:08:40.55" personId="{760C0C8C-7771-4AC9-9353-D9319A593B5E}" id="{BBF9FFDB-D051-4785-9EAD-2A90E617B9CA}">
    <text>cu grupa 4/1</text>
  </threadedComment>
  <threadedComment ref="J183" dT="2026-05-05T09:51:14.04" personId="{760C0C8C-7771-4AC9-9353-D9319A593B5E}" id="{89D5F4AC-A8FC-4A6E-ABC7-1C33D69CA955}">
    <text>cu grupa 5/1</text>
  </threadedComment>
  <threadedComment ref="K183" dT="2026-05-22T11:16:12.35" personId="{174DABF7-B7B9-4D01-AC5D-E5E37CE95A2C}" id="{7B4BC780-3447-48F7-81A3-4E8F340D836E}">
    <text>cu g3 en</text>
  </threadedComment>
  <threadedComment ref="J184" dT="2026-04-28T06:30:09.19" personId="{760C0C8C-7771-4AC9-9353-D9319A593B5E}" id="{B42ECA94-373C-4DBE-AC68-301549B0FA7D}">
    <text>cu grupa 2/2</text>
  </threadedComment>
  <threadedComment ref="J185" dT="2026-05-07T14:06:05.91" personId="{760C0C8C-7771-4AC9-9353-D9319A593B5E}" id="{FF5D348E-3C27-4153-ACB2-A1768B14CC19}">
    <text>cu grupa 4/1</text>
  </threadedComment>
  <threadedComment ref="J186" dT="2026-05-07T09:44:58.49" personId="{760C0C8C-7771-4AC9-9353-D9319A593B5E}" id="{C34F6EA6-40AA-40F5-8816-51F4D2EBA04F}">
    <text>cu grupa 3/1</text>
  </threadedComment>
  <threadedComment ref="G187" dT="2026-04-01T14:09:12.65" personId="{760C0C8C-7771-4AC9-9353-D9319A593B5E}" id="{BC4FED43-0D40-4B6D-9D21-E170D537AA4E}">
    <text>cu grupa 2/2</text>
  </threadedComment>
  <threadedComment ref="H187" dT="2026-04-02T10:22:09.74" personId="{760C0C8C-7771-4AC9-9353-D9319A593B5E}" id="{EA08D38A-85B6-4DC2-8045-1EB0AB72B272}">
    <text>cu grupa 3/2</text>
  </threadedComment>
  <threadedComment ref="J187" dT="2026-04-28T06:29:54.43" personId="{760C0C8C-7771-4AC9-9353-D9319A593B5E}" id="{9291D731-D7CD-420A-BB44-212BC27505FC}">
    <text>cu grupa 2/2</text>
  </threadedComment>
  <threadedComment ref="J188" dT="2026-04-28T06:30:23.68" personId="{760C0C8C-7771-4AC9-9353-D9319A593B5E}" id="{9237EE60-7DFB-4220-9BE5-1A802C377D6A}">
    <text>cu grupa 2/2</text>
  </threadedComment>
  <threadedComment ref="J190" dT="2026-05-07T14:06:20.91" personId="{760C0C8C-7771-4AC9-9353-D9319A593B5E}" id="{9263B42A-C801-4F5A-9BA0-6C6F8ECD311D}">
    <text>cu grupa 4/1</text>
  </threadedComment>
  <threadedComment ref="J192" dT="2026-05-07T14:05:53.40" personId="{760C0C8C-7771-4AC9-9353-D9319A593B5E}" id="{C37BB19B-3839-4981-86E3-45D157B865BC}">
    <text>cu grupa 4/1</text>
  </threadedComment>
  <threadedComment ref="J193" dT="2026-05-07T14:06:32.10" personId="{760C0C8C-7771-4AC9-9353-D9319A593B5E}" id="{390DDABD-359B-4463-8B80-B992F89C754F}">
    <text>cu grupa 4/1</text>
  </threadedComment>
  <threadedComment ref="J196" dT="2026-05-05T06:30:51.30" personId="{760C0C8C-7771-4AC9-9353-D9319A593B5E}" id="{E5F90FE4-AA13-4B4E-BB19-BB4799E9CE75}">
    <text>cu grupa 2/1</text>
  </threadedComment>
  <threadedComment ref="L197" dT="2026-06-02T05:59:54.64" personId="{760C0C8C-7771-4AC9-9353-D9319A593B5E}" id="{EF008265-1204-4EA0-8322-78E005AD113B}">
    <text>cu grupa 2/1</text>
  </threadedComment>
  <threadedComment ref="J202" dT="2026-05-13T08:43:21.21" personId="{174DABF7-B7B9-4D01-AC5D-E5E37CE95A2C}" id="{1FEBE973-50AE-45F5-B6AA-EFE23378F4C3}">
    <text>cu g7</text>
  </threadedComment>
  <threadedComment ref="G203" dT="2026-03-20T11:42:53.49" personId="{174DABF7-B7B9-4D01-AC5D-E5E37CE95A2C}" id="{40663ECD-0E56-44C2-BFFB-E63EAA0DB0EF}">
    <text>cu g3eng</text>
  </threadedComment>
  <threadedComment ref="H203" dT="2026-04-09T10:10:41.33" personId="{760C0C8C-7771-4AC9-9353-D9319A593B5E}" id="{F43A4DF9-075B-4445-A40B-90A04D089323}">
    <text>cu grupa 3/1</text>
  </threadedComment>
  <threadedComment ref="K203" dT="2026-05-22T11:15:42.58" personId="{174DABF7-B7B9-4D01-AC5D-E5E37CE95A2C}" id="{860CB2E8-9DE1-41A3-AD90-0AF21B57C4A5}">
    <text>cu g3en</text>
  </threadedComment>
  <threadedComment ref="I204" dT="2026-04-23T15:12:00.98" personId="{760C0C8C-7771-4AC9-9353-D9319A593B5E}" id="{6745E80B-6944-4477-98BD-DF4C3533B44A}">
    <text>cu grupa 4/1</text>
  </threadedComment>
  <threadedComment ref="J204" dT="2026-05-05T09:50:57.95" personId="{760C0C8C-7771-4AC9-9353-D9319A593B5E}" id="{2B588FE6-F172-41C7-8F26-DCE7BABC13BF}">
    <text>cu grupa 5/1</text>
  </threadedComment>
  <threadedComment ref="K204" dT="2026-05-22T11:17:55.33" personId="{174DABF7-B7B9-4D01-AC5D-E5E37CE95A2C}" id="{8B7DDFC1-F0F6-4392-BD07-552B6CD5326E}">
    <text>cu g3 en</text>
  </threadedComment>
  <threadedComment ref="I208" dT="2026-04-16T15:02:54.10" personId="{760C0C8C-7771-4AC9-9353-D9319A593B5E}" id="{44E68329-31F0-4AE1-A8BE-4738A74FF25A}">
    <text>cu grupa 4/2</text>
  </threadedComment>
  <threadedComment ref="J208" dT="2026-05-27T13:47:18.90" personId="{760C0C8C-7771-4AC9-9353-D9319A593B5E}" id="{491A81BF-A274-4092-8AED-3C914A062038}">
    <text>cu grupa 6/2</text>
  </threadedComment>
  <threadedComment ref="K208" dT="2026-05-22T06:49:41.63" personId="{174DABF7-B7B9-4D01-AC5D-E5E37CE95A2C}" id="{FF6AC73C-F583-4559-A1F0-E053AF9D20E4}">
    <text>cu g7</text>
  </threadedComment>
  <threadedComment ref="L208" dT="2026-05-27T13:47:11.76" personId="{760C0C8C-7771-4AC9-9353-D9319A593B5E}" id="{BF9DCB9F-B645-43AA-89DA-3143509EB7E5}">
    <text>cu grupa 6/2</text>
  </threadedComment>
  <threadedComment ref="H209" dT="2026-04-07T06:40:14.81" personId="{760C0C8C-7771-4AC9-9353-D9319A593B5E}" id="{9F792FDC-1DC2-403F-A979-EAFB2D9C7813}">
    <text>cu grupa 2/1</text>
  </threadedComment>
  <threadedComment ref="H212" dT="2026-04-07T06:38:28.78" personId="{760C0C8C-7771-4AC9-9353-D9319A593B5E}" id="{15C5EDDC-8BD5-4307-BC5B-A03EB1931050}">
    <text>cu grupa 2/1</text>
  </threadedComment>
  <threadedComment ref="I212" dT="2026-04-16T15:03:16.71" personId="{760C0C8C-7771-4AC9-9353-D9319A593B5E}" id="{1C2E31E9-AF5F-422A-99D6-6BBA77A9FA11}">
    <text>cu grupa 4/2</text>
  </threadedComment>
  <threadedComment ref="J212" dT="2026-05-07T14:07:26.32" personId="{760C0C8C-7771-4AC9-9353-D9319A593B5E}" id="{442AAA58-DA8A-4B4E-B9A8-A07F6284092F}">
    <text>cu grupa 4/1</text>
  </threadedComment>
  <threadedComment ref="L212" dT="2026-05-27T13:47:50.37" personId="{760C0C8C-7771-4AC9-9353-D9319A593B5E}" id="{AAD3FEA7-8D95-447C-A1F4-018AF05261C8}">
    <text>cu grupa 6/2</text>
  </threadedComment>
  <threadedComment ref="J214" dT="2026-05-07T09:45:15.89" personId="{760C0C8C-7771-4AC9-9353-D9319A593B5E}" id="{59B13F7D-14B8-4232-9376-D57811523C78}">
    <text>cu grupa 3/1</text>
  </threadedComment>
  <threadedComment ref="L214" dT="2026-05-27T13:48:02.31" personId="{760C0C8C-7771-4AC9-9353-D9319A593B5E}" id="{A8598F3D-1A81-4FE5-AD4D-C85ED8D28CE1}">
    <text>cu grupa 6/2</text>
  </threadedComment>
  <threadedComment ref="F227" dT="2026-04-01T14:12:49.05" personId="{760C0C8C-7771-4AC9-9353-D9319A593B5E}" id="{D66D202A-80CA-44C6-81AA-EC3425ED29DE}">
    <text>cu grupa 4/1</text>
  </threadedComment>
  <threadedComment ref="I230" dT="2026-04-24T07:31:23.95" personId="{174DABF7-B7B9-4D01-AC5D-E5E37CE95A2C}" id="{77341AB6-1ECC-4BC9-B5E5-991A35692508}">
    <text>cu g7</text>
  </threadedComment>
  <threadedComment ref="L236" dT="2026-06-04T09:20:59.17" personId="{760C0C8C-7771-4AC9-9353-D9319A593B5E}" id="{BDDD7075-1138-42CA-9EB0-0D9820587BD6}">
    <text>cu grupa 3/1</text>
  </threadedComment>
  <threadedComment ref="L240" dT="2026-05-28T13:47:19.05" personId="{760C0C8C-7771-4AC9-9353-D9319A593B5E}" id="{5516FA90-8D19-49F3-B2E8-90A585A32E78}">
    <text>cu grupa 4/2</text>
  </threadedComment>
  <threadedComment ref="K241" dT="2026-05-22T06:50:04.30" personId="{174DABF7-B7B9-4D01-AC5D-E5E37CE95A2C}" id="{152A2E4E-3F19-4670-9AD6-A27E217B59C7}">
    <text>cu g7</text>
  </threadedComment>
  <threadedComment ref="I245" dT="2026-04-24T07:29:44.59" personId="{174DABF7-B7B9-4D01-AC5D-E5E37CE95A2C}" id="{ACEFB589-92AB-47BE-8A76-C627416538E5}">
    <text>cu g7</text>
  </threadedComment>
  <threadedComment ref="I246" dT="2026-04-24T07:30:58.84" personId="{174DABF7-B7B9-4D01-AC5D-E5E37CE95A2C}" id="{284055E3-F660-4EE9-9C80-0614FAE48B12}">
    <text>cu g7</text>
  </threadedComment>
  <threadedComment ref="I247" dT="2026-04-16T15:04:07.07" personId="{760C0C8C-7771-4AC9-9353-D9319A593B5E}" id="{BF012087-146A-43A6-8697-D579A75FCB33}">
    <text>cu grupa 4/2</text>
  </threadedComment>
  <threadedComment ref="L247" dT="2026-05-28T13:47:19.05" personId="{760C0C8C-7771-4AC9-9353-D9319A593B5E}" id="{F2FA827B-871F-4E00-9B6D-F1C96F74701F}">
    <text>cu grupa 4/2</text>
  </threadedComment>
  <threadedComment ref="I249" dT="2026-04-24T07:30:23.92" personId="{174DABF7-B7B9-4D01-AC5D-E5E37CE95A2C}" id="{FD37384A-4BBA-4056-A0C6-2A02CB8D62DD}">
    <text>cu g7</text>
  </threadedComment>
  <threadedComment ref="I252" dT="2026-04-16T15:03:49.03" personId="{760C0C8C-7771-4AC9-9353-D9319A593B5E}" id="{6AFFBD57-891F-4291-B355-964EF80F0367}">
    <text>cu grupa 4/2</text>
  </threadedComment>
  <threadedComment ref="L252" dT="2026-05-28T13:47:19.05" personId="{760C0C8C-7771-4AC9-9353-D9319A593B5E}" id="{7977613D-C052-4027-B18C-35104979BCEE}">
    <text>cu grupa 4/2</text>
  </threadedComment>
  <threadedComment ref="I253" dT="2026-04-24T07:30:42.06" personId="{174DABF7-B7B9-4D01-AC5D-E5E37CE95A2C}" id="{BAACB342-0807-416B-96AD-AC713D284C09}">
    <text>cu g7</text>
  </threadedComment>
  <threadedComment ref="K254" dT="2026-05-22T11:17:43.07" personId="{174DABF7-B7B9-4D01-AC5D-E5E37CE95A2C}" id="{ED806811-898B-4E40-9915-D68FE697B7D7}">
    <text>cu g3 en</text>
  </threadedComment>
  <threadedComment ref="K257" dT="2026-05-22T11:16:40.82" personId="{174DABF7-B7B9-4D01-AC5D-E5E37CE95A2C}" id="{C262441F-2C92-4EE5-A08D-C5BE77F8257B}">
    <text>cu g3 en</text>
  </threadedComment>
  <threadedComment ref="L257" dT="2026-06-10T12:56:02.82" personId="{174DABF7-B7B9-4D01-AC5D-E5E37CE95A2C}" id="{84E79F55-57EB-4B2E-92E9-862B51813422}">
    <text>cu g3 eng</text>
  </threadedComment>
  <threadedComment ref="L258" dT="2026-06-04T09:20:59.17" personId="{760C0C8C-7771-4AC9-9353-D9319A593B5E}" id="{2F5869EF-93DD-44D3-8669-38FD1589B220}">
    <text>cu grupa 3/1</text>
  </threadedComment>
  <threadedComment ref="L259" dT="2026-05-26T05:39:30.61" personId="{760C0C8C-7771-4AC9-9353-D9319A593B5E}" id="{9E7314AD-0D8B-41CB-80CB-55F478C29C38}">
    <text>cu grupa 2/2</text>
  </threadedComment>
  <threadedComment ref="I260" dT="2026-04-17T09:01:59.16" personId="{174DABF7-B7B9-4D01-AC5D-E5E37CE95A2C}" id="{B84CC734-7C53-49D9-9B04-81551B45A7C2}">
    <text xml:space="preserve">cu g7
</text>
  </threadedComment>
  <threadedComment ref="L260" dT="2026-06-04T09:20:59.17" personId="{760C0C8C-7771-4AC9-9353-D9319A593B5E}" id="{C39A0DCB-F6D7-4E26-985E-32BF92A781F3}">
    <text>cu grupa 3/1</text>
  </threadedComment>
  <threadedComment ref="G261" dT="2026-03-27T09:03:12.50" personId="{174DABF7-B7B9-4D01-AC5D-E5E37CE95A2C}" id="{415D5AB0-5E7A-4A38-A46A-D840B69400CC}">
    <text>cu g7</text>
  </threadedComment>
  <threadedComment ref="I261" dT="2026-04-24T11:27:53.21" personId="{174DABF7-B7B9-4D01-AC5D-E5E37CE95A2C}" id="{3D0F5649-DBA9-454B-8B46-820641FDF06B}">
    <text>cu g3 en</text>
  </threadedComment>
  <threadedComment ref="J261" dT="2026-05-07T09:45:30.24" personId="{760C0C8C-7771-4AC9-9353-D9319A593B5E}" id="{4A67F497-D660-4141-8DD6-0A5DA2B9D5F4}">
    <text>cu grupa 3/1</text>
  </threadedComment>
  <threadedComment ref="K261" dT="2026-05-22T06:50:51.61" personId="{174DABF7-B7B9-4D01-AC5D-E5E37CE95A2C}" id="{2667A3CB-E42E-4845-AD6A-FDE4B0F869C5}">
    <text>cu g7</text>
  </threadedComment>
  <threadedComment ref="L261" dT="2026-05-29T07:27:06.69" personId="{174DABF7-B7B9-4D01-AC5D-E5E37CE95A2C}" id="{A8F0E3A1-CDC4-4805-ABB3-868343C81869}">
    <text>cu g7</text>
  </threadedComment>
  <threadedComment ref="J263" dT="2026-05-13T08:44:46.05" personId="{174DABF7-B7B9-4D01-AC5D-E5E37CE95A2C}" id="{9EFFBCDC-1E85-467B-BC83-125811C8CC1A}">
    <text>cu g7</text>
  </threadedComment>
  <threadedComment ref="K263" dT="2026-05-22T11:16:56.41" personId="{174DABF7-B7B9-4D01-AC5D-E5E37CE95A2C}" id="{347BA5C5-7FBE-40A5-B29F-E023C0B9687F}">
    <text>cu g3 en</text>
  </threadedComment>
  <threadedComment ref="L263" dT="2026-06-10T12:55:39.02" personId="{174DABF7-B7B9-4D01-AC5D-E5E37CE95A2C}" id="{1A52266D-41AC-4843-9B8B-E53E0F8FABC9}">
    <text>cu g3 eng</text>
  </threadedComment>
  <threadedComment ref="I264" dT="2026-04-24T07:31:55.72" personId="{174DABF7-B7B9-4D01-AC5D-E5E37CE95A2C}" id="{AE412A29-F360-4ECB-9BD0-FF99CA7D651A}">
    <text>cu g7</text>
  </threadedComment>
  <threadedComment ref="L264" dT="2026-06-08T05:17:18.92" personId="{174DABF7-B7B9-4D01-AC5D-E5E37CE95A2C}" id="{67000DD0-6123-460B-9756-499803D50E79}">
    <text>cu g7</text>
  </threadedComment>
  <threadedComment ref="L265" dT="2026-06-02T05:59:54.64" personId="{760C0C8C-7771-4AC9-9353-D9319A593B5E}" id="{F806825D-6144-4B72-8C6E-38941017D8EE}">
    <text>cu grupa 2/1</text>
  </threadedComment>
  <threadedComment ref="L266" dT="2026-06-08T05:19:17.23" personId="{174DABF7-B7B9-4D01-AC5D-E5E37CE95A2C}" id="{8C225325-2903-49E9-AE00-8B1E02AAA125}">
    <text>cu g7</text>
  </threadedComment>
  <threadedComment ref="L267" dT="2026-05-26T05:39:48.72" personId="{760C0C8C-7771-4AC9-9353-D9319A593B5E}" id="{B25182D0-AD21-4C15-920C-324D45B89AE0}">
    <text>cu grupa 2/2</text>
  </threadedComment>
  <threadedComment ref="L268" dT="2026-05-26T05:40:03.93" personId="{760C0C8C-7771-4AC9-9353-D9319A593B5E}" id="{C3B56C4B-AE7E-44CD-9736-FB99916B014A}">
    <text>cu grupa 2/2</text>
  </threadedComment>
  <threadedComment ref="I269" dT="2026-04-24T07:33:27.81" personId="{174DABF7-B7B9-4D01-AC5D-E5E37CE95A2C}" id="{4284EAA1-AB04-4CC9-B107-403B31BC5DE5}">
    <text>cu g7</text>
  </threadedComment>
  <threadedComment ref="J269" dT="2026-05-13T08:38:17.36" personId="{174DABF7-B7B9-4D01-AC5D-E5E37CE95A2C}" id="{71024705-08FE-4F81-B995-B206510D7629}">
    <text>cu g7</text>
  </threadedComment>
  <threadedComment ref="K269" dT="2026-05-15T11:15:29.96" personId="{174DABF7-B7B9-4D01-AC5D-E5E37CE95A2C}" id="{62291887-EC50-49CF-A99B-BECBD736E0DD}">
    <text>cu g7</text>
  </threadedComment>
  <threadedComment ref="G270" dT="2026-03-27T09:02:19.48" personId="{174DABF7-B7B9-4D01-AC5D-E5E37CE95A2C}" id="{32C87792-DBE6-4FE7-AAD3-94BCA7AA2B1F}">
    <text>cu g7</text>
  </threadedComment>
  <threadedComment ref="H270" dT="2026-04-03T08:56:52.57" personId="{174DABF7-B7B9-4D01-AC5D-E5E37CE95A2C}" id="{77095FA8-D49E-45CA-A251-3D3CF49B9612}">
    <text xml:space="preserve">cu g7
</text>
  </threadedComment>
  <threadedComment ref="I270" dT="2026-04-17T09:02:19.96" personId="{174DABF7-B7B9-4D01-AC5D-E5E37CE95A2C}" id="{27AE15B0-9865-4621-899C-C0E93E563C1C}">
    <text>cu g7</text>
  </threadedComment>
  <threadedComment ref="J270" dT="2026-05-13T08:45:07.13" personId="{174DABF7-B7B9-4D01-AC5D-E5E37CE95A2C}" id="{A98FD292-E095-4148-B204-3BED687C31E9}">
    <text>cu g7</text>
  </threadedComment>
  <threadedComment ref="K270" dT="2026-05-15T11:15:06.21" personId="{174DABF7-B7B9-4D01-AC5D-E5E37CE95A2C}" id="{5EF0FF52-A898-475C-BAA5-429A984394EC}">
    <text>cu g7</text>
  </threadedComment>
  <threadedComment ref="L270" dT="2026-05-28T13:47:19.05" personId="{760C0C8C-7771-4AC9-9353-D9319A593B5E}" id="{AC01A3AC-A5EB-44C5-9873-E6F2DF782744}">
    <text>cu grupa 4/2</text>
  </threadedComment>
  <threadedComment ref="K271" dT="2026-05-25T05:23:11.97" personId="{174DABF7-B7B9-4D01-AC5D-E5E37CE95A2C}" id="{2B3D3D04-1BFF-4A2B-B6CB-1ED6D9D95A9D}">
    <text>cu g7</text>
  </threadedComment>
  <threadedComment ref="L271" dT="2026-06-04T09:20:59.17" personId="{760C0C8C-7771-4AC9-9353-D9319A593B5E}" id="{2DF8CEC0-7FE2-4852-A8F1-23B2941649BB}">
    <text>cu grupa 3/1</text>
  </threadedComment>
  <threadedComment ref="L272" dT="2026-05-26T05:40:31.85" personId="{760C0C8C-7771-4AC9-9353-D9319A593B5E}" id="{DDFB5EC9-BDCF-4325-A7FA-93A2B7C648EE}">
    <text>cu grupa 2/2</text>
  </threadedComment>
  <threadedComment ref="H273" dT="2026-04-03T08:57:29.39" personId="{174DABF7-B7B9-4D01-AC5D-E5E37CE95A2C}" id="{5975EFDA-5230-4C1E-9D3A-18F9FD702975}">
    <text>cu g7</text>
  </threadedComment>
  <threadedComment ref="J273" dT="2026-05-13T08:34:27.10" personId="{174DABF7-B7B9-4D01-AC5D-E5E37CE95A2C}" id="{5D929C8C-BE46-4436-A016-848CF9C35F3E}">
    <text>cu g7</text>
  </threadedComment>
  <threadedComment ref="K273" dT="2026-05-22T06:50:32.58" personId="{174DABF7-B7B9-4D01-AC5D-E5E37CE95A2C}" id="{5C3AA37C-CEF5-4557-B085-06EA86341656}">
    <text>cu g7</text>
  </threadedComment>
  <threadedComment ref="L273" dT="2026-05-29T07:26:35.39" personId="{174DABF7-B7B9-4D01-AC5D-E5E37CE95A2C}" id="{54027570-D99E-4D24-A129-AD3175C2FF00}">
    <text>cu g7</text>
  </threadedComment>
  <threadedComment ref="G274" dT="2026-03-20T08:00:32.17" personId="{174DABF7-B7B9-4D01-AC5D-E5E37CE95A2C}" id="{13812E37-C3F4-4094-9362-A4AD97EEC22F}">
    <text>cu g7</text>
  </threadedComment>
  <threadedComment ref="H274" dT="2026-04-03T08:57:12.52" personId="{174DABF7-B7B9-4D01-AC5D-E5E37CE95A2C}" id="{70114A2C-66E5-46C8-9737-6F1CDD445BE7}">
    <text>cu g7</text>
  </threadedComment>
  <threadedComment ref="I274" dT="2026-04-24T07:33:06.90" personId="{174DABF7-B7B9-4D01-AC5D-E5E37CE95A2C}" id="{0757B03E-EF98-4CF6-ADA1-2F62E80938EC}">
    <text>cu g7</text>
  </threadedComment>
  <threadedComment ref="J274" dT="2026-05-13T08:41:01.24" personId="{174DABF7-B7B9-4D01-AC5D-E5E37CE95A2C}" id="{4B448801-629A-4672-B1AF-8F89788127CD}">
    <text>cu g7</text>
  </threadedComment>
  <threadedComment ref="K274" dT="2026-05-15T11:14:44.82" personId="{174DABF7-B7B9-4D01-AC5D-E5E37CE95A2C}" id="{62DAD7FB-7388-4BC8-A546-1C17D808687D}">
    <text>cu g7</text>
  </threadedComment>
  <threadedComment ref="L274" dT="2026-06-04T09:20:59.17" personId="{760C0C8C-7771-4AC9-9353-D9319A593B5E}" id="{9B6AA614-5856-4519-9FC1-5B8D864E22E1}">
    <text>cu grupa 3/1</text>
  </threadedComment>
  <threadedComment ref="L275" dT="2026-06-08T05:17:41.90" personId="{174DABF7-B7B9-4D01-AC5D-E5E37CE95A2C}" id="{E33FC63F-48C7-4FC7-B919-7504BFB1ECFF}">
    <text>cu g7</text>
  </threadedComment>
  <threadedComment ref="J276" dT="2026-05-13T08:44:25.21" personId="{174DABF7-B7B9-4D01-AC5D-E5E37CE95A2C}" id="{15DBF1C8-72F8-420F-B092-A65C9DC54A49}">
    <text>cu g7</text>
  </threadedComment>
  <threadedComment ref="K276" dT="2026-05-29T07:26:19.08" personId="{174DABF7-B7B9-4D01-AC5D-E5E37CE95A2C}" id="{02ECD9B3-1554-485E-8AF0-42F8725C6EB0}">
    <text>cu g7</text>
  </threadedComment>
  <threadedComment ref="G277" dT="2026-03-20T08:00:11.42" personId="{174DABF7-B7B9-4D01-AC5D-E5E37CE95A2C}" id="{AB68C84D-153C-493A-9D55-F02DED26FEA5}">
    <text>cu g7</text>
  </threadedComment>
  <threadedComment ref="I277" dT="2026-04-24T07:32:45.64" personId="{174DABF7-B7B9-4D01-AC5D-E5E37CE95A2C}" id="{91644C0A-31E2-49B7-A472-66D2A6EE12D4}">
    <text>cu g7</text>
  </threadedComment>
  <threadedComment ref="J277" dT="2026-05-13T08:41:32.68" personId="{174DABF7-B7B9-4D01-AC5D-E5E37CE95A2C}" id="{1E68A07C-0094-453A-BAF5-86B3FD78DE4E}">
    <text>cu g7</text>
  </threadedComment>
  <threadedComment ref="K277" dT="2026-05-15T11:14:25.44" personId="{174DABF7-B7B9-4D01-AC5D-E5E37CE95A2C}" id="{6D02E0BB-F143-4B66-8079-A556D56508E2}">
    <text>cu g7</text>
  </threadedComment>
  <threadedComment ref="I278" dT="2026-04-23T15:10:59.78" personId="{760C0C8C-7771-4AC9-9353-D9319A593B5E}" id="{9C1CFF99-0D20-42BE-9CE5-915B2C84E9C0}">
    <text>cu grupa 4/1</text>
  </threadedComment>
  <threadedComment ref="J278" dT="2026-05-13T08:40:28.97" personId="{174DABF7-B7B9-4D01-AC5D-E5E37CE95A2C}" id="{79A551E9-5F61-440F-9FCD-F6B6CACA4A21}">
    <text>cu g7</text>
  </threadedComment>
  <threadedComment ref="K278" dT="2026-05-15T11:15:56.40" personId="{174DABF7-B7B9-4D01-AC5D-E5E37CE95A2C}" id="{B61BFC62-8900-4858-9F80-AE9178AC81BE}">
    <text>cu g7</text>
  </threadedComment>
  <threadedComment ref="L278" dT="2026-06-04T09:20:59.17" personId="{760C0C8C-7771-4AC9-9353-D9319A593B5E}" id="{B4E346D3-528E-45D1-B071-B9EF6A0ED48E}">
    <text>cu grupa 3/1</text>
  </threadedComment>
  <threadedComment ref="H279" dT="2026-04-03T08:57:53.44" personId="{174DABF7-B7B9-4D01-AC5D-E5E37CE95A2C}" id="{1F319907-2C1B-41A8-89A7-02E335BDAB8D}">
    <text>cu g7</text>
  </threadedComment>
  <threadedComment ref="I279" dT="2026-04-23T15:11:25.23" personId="{760C0C8C-7771-4AC9-9353-D9319A593B5E}" id="{ED6D46E1-C0B0-44FC-91DE-E33889569BB8}">
    <text>cu grupa 4/1</text>
  </threadedComment>
  <threadedComment ref="L279" dT="2026-06-04T09:20:59.17" personId="{760C0C8C-7771-4AC9-9353-D9319A593B5E}" id="{34C0EF2D-E7EE-4A07-8C48-4F1A77BEE57B}">
    <text>cu grupa 3/1</text>
  </threadedComment>
  <threadedComment ref="K280" dT="2026-05-22T06:51:14.30" personId="{174DABF7-B7B9-4D01-AC5D-E5E37CE95A2C}" id="{B63B494D-6E9E-49E2-99C8-E4FD43F82E41}">
    <text>cu g7</text>
  </threadedComment>
  <threadedComment ref="L280" dT="2026-06-04T09:20:59.17" personId="{760C0C8C-7771-4AC9-9353-D9319A593B5E}" id="{1596F71A-54B2-497C-A400-0118E94D5BE6}">
    <text>cu grupa 3/1</text>
  </threadedComment>
  <threadedComment ref="I281" dT="2026-04-23T15:11:13.84" personId="{760C0C8C-7771-4AC9-9353-D9319A593B5E}" id="{B3083935-1660-4D66-B8C9-CE60979A67CB}">
    <text>cu grupa 4/1</text>
  </threadedComment>
  <threadedComment ref="F282" dT="2026-03-09T12:59:06.26" personId="{174DABF7-B7B9-4D01-AC5D-E5E37CE95A2C}" id="{C00D27C1-618F-4079-974D-321FF561AAD0}">
    <text>cu g7/2</text>
  </threadedComment>
  <threadedComment ref="L282" dT="2026-05-29T11:16:36.29" personId="{174DABF7-B7B9-4D01-AC5D-E5E37CE95A2C}" id="{E711E5FE-DDBE-4F83-B67F-A7999E43AE1F}">
    <text>cu g3 eng</text>
  </threadedComment>
  <threadedComment ref="G284" dT="2026-03-20T08:00:53.50" personId="{174DABF7-B7B9-4D01-AC5D-E5E37CE95A2C}" id="{AE31E2D8-C1F5-44A4-B3F7-1DD92683FBCD}">
    <text>cu g7</text>
  </threadedComment>
  <threadedComment ref="H284" dT="2026-04-03T08:54:18.05" personId="{174DABF7-B7B9-4D01-AC5D-E5E37CE95A2C}" id="{F411E6CF-384C-45B1-9C8F-AF621456EB46}">
    <text xml:space="preserve">cu g7
</text>
  </threadedComment>
  <threadedComment ref="I284" dT="2026-04-17T09:02:40.94" personId="{174DABF7-B7B9-4D01-AC5D-E5E37CE95A2C}" id="{C1CAEB86-B594-4F30-9DDE-45A206A379D7}">
    <text>cu g7</text>
  </threadedComment>
  <threadedComment ref="J284" dT="2026-04-28T09:46:56.52" personId="{760C0C8C-7771-4AC9-9353-D9319A593B5E}" id="{65691BE4-9ED0-40DE-82E2-8412B14416D4}">
    <text>cu grupa 5/2</text>
  </threadedComment>
  <threadedComment ref="K284" dT="2026-05-15T11:16:18.30" personId="{174DABF7-B7B9-4D01-AC5D-E5E37CE95A2C}" id="{3A67BA4A-78D5-4751-B9A8-D6F3D537330B}">
    <text>cu g7</text>
  </threadedComment>
  <threadedComment ref="L284" dT="2026-05-29T07:26:48.00" personId="{174DABF7-B7B9-4D01-AC5D-E5E37CE95A2C}" id="{C033DAD4-A6ED-44EC-8406-005288C55E33}">
    <text>cu g7</text>
  </threadedComment>
  <threadedComment ref="I286" dT="2026-04-17T09:01:32.47" personId="{174DABF7-B7B9-4D01-AC5D-E5E37CE95A2C}" id="{F784495A-0DFD-4442-AEEF-390C0100ED23}">
    <text>cu g7</text>
  </threadedComment>
  <threadedComment ref="L286" dT="2026-06-02T05:59:54.64" personId="{760C0C8C-7771-4AC9-9353-D9319A593B5E}" id="{D2EFC161-4088-4F15-BE01-15F714E41604}">
    <text>cu grupa 2/1</text>
  </threadedComment>
  <threadedComment ref="I287" dT="2026-05-07T14:06:58.93" personId="{760C0C8C-7771-4AC9-9353-D9319A593B5E}" id="{CD5F626B-EC72-4B2A-878E-37052993C2B1}">
    <text>cu grupa 4/1</text>
  </threadedComment>
  <threadedComment ref="J287" dT="2026-05-07T14:06:50.70" personId="{760C0C8C-7771-4AC9-9353-D9319A593B5E}" id="{A594EACE-DEDE-496D-935F-048D71D997C7}">
    <text>cu grupa 4/1</text>
  </threadedComment>
  <threadedComment ref="L287" dT="2026-06-02T09:51:02.92" personId="{760C0C8C-7771-4AC9-9353-D9319A593B5E}" id="{46DC2114-42B4-485F-9E86-924B12FF6938}">
    <text>cu grupa 5/1</text>
  </threadedComment>
  <threadedComment ref="D291" dT="2026-06-05T23:30:13.39" personId="{640AD9BB-CA43-41AE-9BCF-436D4B0A791A}" id="{55AABA9B-8C48-4EA8-A46D-CEECEDC9E71A}">
    <text xml:space="preserve">Recontractare disciplina
</text>
  </threadedComment>
  <threadedComment ref="I291" dT="2026-04-24T11:25:52.71" personId="{174DABF7-B7B9-4D01-AC5D-E5E37CE95A2C}" id="{EA6CF820-2D42-482E-B1CE-EAD5458E8F18}">
    <text>cu g3 en</text>
  </threadedComment>
  <threadedComment ref="J291" dT="2026-05-13T08:49:00.21" personId="{174DABF7-B7B9-4D01-AC5D-E5E37CE95A2C}" id="{C4B737E5-BB58-4EA9-8BAD-B8820719E875}">
    <text>cu g3eng</text>
  </threadedComment>
  <threadedComment ref="D294" dT="2026-06-05T23:30:20.46" personId="{640AD9BB-CA43-41AE-9BCF-436D4B0A791A}" id="{11E6B745-229F-445A-9005-B2FCA9D0EEE4}">
    <text>Recontractare disciplina</text>
  </threadedComment>
  <threadedComment ref="K294" dT="2026-05-15T11:14:02.24" personId="{174DABF7-B7B9-4D01-AC5D-E5E37CE95A2C}" id="{ACFA5FB4-2AA7-45DC-A02B-10A9F591F589}">
    <text>cu g7</text>
  </threadedComment>
  <threadedComment ref="D295" dT="2026-06-05T23:30:31.30" personId="{640AD9BB-CA43-41AE-9BCF-436D4B0A791A}" id="{FDE4D1DC-214E-4A51-AD4A-E2386B85D94C}">
    <text>Recontractare disciplina</text>
  </threadedComment>
  <threadedComment ref="D297" dT="2026-06-05T23:30:25.20" personId="{640AD9BB-CA43-41AE-9BCF-436D4B0A791A}" id="{210056A6-8CD3-4B67-9A66-3167A826A1D2}">
    <text>Recontractare disciplina</text>
  </threadedComment>
  <threadedComment ref="D300" dT="2026-06-14T20:41:44.88" personId="{7C4642BC-1CAE-42C3-BD2A-5A26AC3E1050}" id="{4D9CD68E-CE7A-4E4F-84AC-C47FECED60E3}">
    <text>recontractare disciplina</text>
  </threadedComment>
  <threadedComment ref="D301" dT="2026-06-05T23:30:38.83" personId="{640AD9BB-CA43-41AE-9BCF-436D4B0A791A}" id="{23486798-6A34-4208-8D9D-4468B635777D}">
    <text>Recontractare disciplina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4EE1-D4D1-4524-86ED-59AE307DAB93}">
  <dimension ref="A4:AD38"/>
  <sheetViews>
    <sheetView topLeftCell="D13" workbookViewId="0">
      <selection activeCell="M23" sqref="M23"/>
    </sheetView>
  </sheetViews>
  <sheetFormatPr defaultColWidth="8.75" defaultRowHeight="13.9"/>
  <cols>
    <col min="1" max="3" width="8.75" style="6"/>
    <col min="4" max="4" width="23.75" style="6" customWidth="1"/>
    <col min="5" max="14" width="8.75" style="6"/>
    <col min="15" max="26" width="5.625" style="6" customWidth="1"/>
    <col min="27" max="27" width="5.875" style="6" customWidth="1"/>
    <col min="28" max="28" width="5.5" style="6" customWidth="1"/>
    <col min="29" max="29" width="13.75" style="6" customWidth="1"/>
    <col min="30" max="30" width="10.875" style="6" customWidth="1"/>
    <col min="31" max="16384" width="8.75" style="6"/>
  </cols>
  <sheetData>
    <row r="4" spans="3:10">
      <c r="D4" s="6" t="s">
        <v>0</v>
      </c>
      <c r="G4" s="6" t="s">
        <v>1</v>
      </c>
      <c r="H4" s="6" t="s">
        <v>2</v>
      </c>
    </row>
    <row r="5" spans="3:10">
      <c r="C5" s="6">
        <v>30221</v>
      </c>
      <c r="D5" s="7">
        <f t="shared" ref="D5:D14" si="0">SUMIFS(nota,grupa,C5,nota,"&lt;&gt;-2",nota,"&lt;&gt;abs", nota,"&lt;&gt;promTS")/COUNTIFS(grupa, C5, nota, "&lt;&gt;-2", nota, "&lt;&gt;abs", nota,"&lt;&gt;promTS")</f>
        <v>6.8928571428571432</v>
      </c>
      <c r="G5" s="6">
        <v>10</v>
      </c>
      <c r="H5" s="6">
        <f t="shared" ref="H5:H17" si="1">COUNTIF(nota, G5)</f>
        <v>76</v>
      </c>
      <c r="J5" s="8">
        <f>H5/$H$19</f>
        <v>0.25938566552901021</v>
      </c>
    </row>
    <row r="6" spans="3:10">
      <c r="C6" s="6">
        <v>30222</v>
      </c>
      <c r="D6" s="7">
        <f t="shared" si="0"/>
        <v>7.6206896551724137</v>
      </c>
      <c r="G6" s="6">
        <v>9</v>
      </c>
      <c r="H6" s="6">
        <f t="shared" si="1"/>
        <v>29</v>
      </c>
      <c r="J6" s="8">
        <f>H6/$H$19</f>
        <v>9.8976109215017066E-2</v>
      </c>
    </row>
    <row r="7" spans="3:10">
      <c r="C7" s="6">
        <v>30223</v>
      </c>
      <c r="D7" s="7">
        <f t="shared" si="0"/>
        <v>7.0740740740740744</v>
      </c>
      <c r="G7" s="6">
        <v>8</v>
      </c>
      <c r="H7" s="6">
        <f t="shared" si="1"/>
        <v>44</v>
      </c>
      <c r="J7" s="8">
        <f>H7/$H$19</f>
        <v>0.15017064846416384</v>
      </c>
    </row>
    <row r="8" spans="3:10">
      <c r="C8" s="6">
        <v>30224</v>
      </c>
      <c r="D8" s="7">
        <f t="shared" si="0"/>
        <v>6.9655172413793105</v>
      </c>
      <c r="G8" s="6">
        <v>7</v>
      </c>
      <c r="H8" s="6">
        <f t="shared" si="1"/>
        <v>31</v>
      </c>
      <c r="J8" s="8">
        <f>H8/$H$19</f>
        <v>0.10580204778156997</v>
      </c>
    </row>
    <row r="9" spans="3:10">
      <c r="C9" s="6">
        <v>30225</v>
      </c>
      <c r="D9" s="7">
        <f t="shared" si="0"/>
        <v>7.1071428571428568</v>
      </c>
      <c r="G9" s="6">
        <v>6</v>
      </c>
      <c r="H9" s="6">
        <f t="shared" si="1"/>
        <v>31</v>
      </c>
      <c r="J9" s="8">
        <f>H9/$H$19</f>
        <v>0.10580204778156997</v>
      </c>
    </row>
    <row r="10" spans="3:10">
      <c r="C10" s="6">
        <v>30226</v>
      </c>
      <c r="D10" s="7">
        <f t="shared" si="0"/>
        <v>7.4074074074074074</v>
      </c>
      <c r="G10" s="6">
        <v>5</v>
      </c>
      <c r="H10" s="6">
        <f t="shared" si="1"/>
        <v>35</v>
      </c>
      <c r="J10" s="8">
        <f t="shared" ref="J10:J16" si="2">H10/$H$19</f>
        <v>0.11945392491467577</v>
      </c>
    </row>
    <row r="11" spans="3:10">
      <c r="C11" s="6">
        <v>30227</v>
      </c>
      <c r="D11" s="7">
        <f t="shared" si="0"/>
        <v>6.8928571428571432</v>
      </c>
      <c r="G11" s="6">
        <v>4</v>
      </c>
      <c r="H11" s="6">
        <f t="shared" si="1"/>
        <v>18</v>
      </c>
      <c r="J11" s="8">
        <f t="shared" si="2"/>
        <v>6.1433447098976107E-2</v>
      </c>
    </row>
    <row r="12" spans="3:10">
      <c r="C12" s="6">
        <v>30228</v>
      </c>
      <c r="D12" s="7">
        <f t="shared" si="0"/>
        <v>7.75</v>
      </c>
      <c r="G12" s="6">
        <v>3</v>
      </c>
      <c r="H12" s="6">
        <f t="shared" si="1"/>
        <v>13</v>
      </c>
      <c r="J12" s="8">
        <f t="shared" si="2"/>
        <v>4.4368600682593858E-2</v>
      </c>
    </row>
    <row r="13" spans="3:10">
      <c r="C13" s="6">
        <v>30229</v>
      </c>
      <c r="D13" s="7">
        <f t="shared" si="0"/>
        <v>8.25</v>
      </c>
      <c r="G13" s="6">
        <v>2</v>
      </c>
      <c r="H13" s="6">
        <f t="shared" si="1"/>
        <v>6</v>
      </c>
      <c r="J13" s="8">
        <f t="shared" si="2"/>
        <v>2.0477815699658702E-2</v>
      </c>
    </row>
    <row r="14" spans="3:10">
      <c r="C14" s="6">
        <v>302210</v>
      </c>
      <c r="D14" s="7">
        <f t="shared" si="0"/>
        <v>7.2413793103448274</v>
      </c>
      <c r="G14" s="6">
        <v>1</v>
      </c>
      <c r="H14" s="6">
        <f t="shared" si="1"/>
        <v>5</v>
      </c>
      <c r="J14" s="8">
        <f t="shared" si="2"/>
        <v>1.7064846416382253E-2</v>
      </c>
    </row>
    <row r="15" spans="3:10">
      <c r="G15" s="6">
        <v>-2</v>
      </c>
      <c r="H15" s="6">
        <f t="shared" si="1"/>
        <v>2</v>
      </c>
      <c r="J15" s="8">
        <f t="shared" si="2"/>
        <v>6.8259385665529011E-3</v>
      </c>
    </row>
    <row r="16" spans="3:10">
      <c r="G16" s="6" t="s">
        <v>3</v>
      </c>
      <c r="H16" s="6">
        <f t="shared" si="1"/>
        <v>3</v>
      </c>
      <c r="J16" s="8">
        <f t="shared" si="2"/>
        <v>1.0238907849829351E-2</v>
      </c>
    </row>
    <row r="17" spans="1:30">
      <c r="G17" s="6" t="s">
        <v>4</v>
      </c>
      <c r="H17" s="6">
        <f t="shared" si="1"/>
        <v>0</v>
      </c>
    </row>
    <row r="19" spans="1:30">
      <c r="H19" s="6">
        <f>SUM(H5:H16)</f>
        <v>293</v>
      </c>
    </row>
    <row r="20" spans="1:30" ht="14.45" thickBot="1">
      <c r="G20" s="6" t="s">
        <v>5</v>
      </c>
      <c r="H20" s="6">
        <f>SUM(H5:H10)</f>
        <v>246</v>
      </c>
      <c r="I20" s="8">
        <f>H20/H19</f>
        <v>0.83959044368600677</v>
      </c>
    </row>
    <row r="21" spans="1:30" ht="14.45" thickBot="1">
      <c r="G21" s="6" t="s">
        <v>6</v>
      </c>
      <c r="H21" s="6">
        <f>SUM(H11:H16)</f>
        <v>47</v>
      </c>
      <c r="I21" s="8">
        <f>H21/H19</f>
        <v>0.16040955631399317</v>
      </c>
      <c r="N21" s="13"/>
      <c r="O21" s="11">
        <v>10</v>
      </c>
      <c r="P21" s="11">
        <v>9</v>
      </c>
      <c r="Q21" s="11">
        <v>8</v>
      </c>
      <c r="R21" s="11">
        <v>7</v>
      </c>
      <c r="S21" s="11">
        <v>6</v>
      </c>
      <c r="T21" s="11">
        <v>5</v>
      </c>
      <c r="U21" s="11">
        <v>4</v>
      </c>
      <c r="V21" s="11">
        <v>3</v>
      </c>
      <c r="W21" s="11">
        <v>2</v>
      </c>
      <c r="X21" s="11">
        <v>1</v>
      </c>
      <c r="Y21" s="11" t="s">
        <v>3</v>
      </c>
      <c r="Z21" s="12">
        <v>-2</v>
      </c>
      <c r="AA21" s="10" t="s">
        <v>5</v>
      </c>
      <c r="AB21" s="22" t="s">
        <v>7</v>
      </c>
      <c r="AC21" s="6" t="s">
        <v>8</v>
      </c>
      <c r="AD21" s="6" t="s">
        <v>9</v>
      </c>
    </row>
    <row r="22" spans="1:30">
      <c r="N22" s="14">
        <v>30221</v>
      </c>
      <c r="O22" s="6">
        <f t="shared" ref="O22:Z31" si="3">COUNTIFS(nota, O$21, grupa, $N22)</f>
        <v>8</v>
      </c>
      <c r="P22" s="6">
        <f t="shared" si="3"/>
        <v>1</v>
      </c>
      <c r="Q22" s="6">
        <f t="shared" si="3"/>
        <v>1</v>
      </c>
      <c r="R22" s="6">
        <f t="shared" si="3"/>
        <v>5</v>
      </c>
      <c r="S22" s="6">
        <f t="shared" si="3"/>
        <v>3</v>
      </c>
      <c r="T22" s="6">
        <f t="shared" si="3"/>
        <v>6</v>
      </c>
      <c r="U22" s="6">
        <f t="shared" si="3"/>
        <v>2</v>
      </c>
      <c r="V22" s="6">
        <f t="shared" si="3"/>
        <v>1</v>
      </c>
      <c r="W22" s="6">
        <f t="shared" si="3"/>
        <v>1</v>
      </c>
      <c r="X22" s="6">
        <f t="shared" si="3"/>
        <v>0</v>
      </c>
      <c r="Y22" s="6">
        <f t="shared" si="3"/>
        <v>0</v>
      </c>
      <c r="Z22" s="15">
        <f t="shared" si="3"/>
        <v>0</v>
      </c>
      <c r="AA22" s="20">
        <f>SUM(O22:T22)</f>
        <v>24</v>
      </c>
      <c r="AB22" s="15">
        <f>SUM(U22:Z22)</f>
        <v>4</v>
      </c>
      <c r="AC22" s="8">
        <f>AA22/SUM(O22:Z22)</f>
        <v>0.8571428571428571</v>
      </c>
      <c r="AD22" s="8">
        <f>AB22/SUM(O22:Z22)</f>
        <v>0.14285714285714285</v>
      </c>
    </row>
    <row r="23" spans="1:30">
      <c r="N23" s="14">
        <v>30222</v>
      </c>
      <c r="O23" s="6">
        <f t="shared" si="3"/>
        <v>6</v>
      </c>
      <c r="P23" s="6">
        <f t="shared" si="3"/>
        <v>4</v>
      </c>
      <c r="Q23" s="6">
        <f t="shared" si="3"/>
        <v>10</v>
      </c>
      <c r="R23" s="6">
        <f t="shared" si="3"/>
        <v>2</v>
      </c>
      <c r="S23" s="6">
        <f t="shared" si="3"/>
        <v>2</v>
      </c>
      <c r="T23" s="6">
        <f t="shared" si="3"/>
        <v>2</v>
      </c>
      <c r="U23" s="6">
        <f t="shared" si="3"/>
        <v>1</v>
      </c>
      <c r="V23" s="6">
        <f t="shared" si="3"/>
        <v>1</v>
      </c>
      <c r="W23" s="6">
        <f t="shared" si="3"/>
        <v>1</v>
      </c>
      <c r="X23" s="6">
        <f t="shared" si="3"/>
        <v>0</v>
      </c>
      <c r="Y23" s="6">
        <f t="shared" si="3"/>
        <v>0</v>
      </c>
      <c r="Z23" s="15">
        <f t="shared" si="3"/>
        <v>0</v>
      </c>
      <c r="AA23" s="20">
        <f t="shared" ref="AA23:AA30" si="4">SUM(O23:T23)</f>
        <v>26</v>
      </c>
      <c r="AB23" s="15">
        <f t="shared" ref="AB23:AB30" si="5">SUM(U23:Z23)</f>
        <v>3</v>
      </c>
      <c r="AC23" s="8">
        <f t="shared" ref="AC23:AC30" si="6">AA23/SUM(O23:Z23)</f>
        <v>0.89655172413793105</v>
      </c>
      <c r="AD23" s="8">
        <f t="shared" ref="AD23:AD30" si="7">AB23/SUM(O23:Z23)</f>
        <v>0.10344827586206896</v>
      </c>
    </row>
    <row r="24" spans="1:30">
      <c r="N24" s="14">
        <v>30223</v>
      </c>
      <c r="O24" s="6">
        <f t="shared" si="3"/>
        <v>6</v>
      </c>
      <c r="P24" s="6">
        <f t="shared" si="3"/>
        <v>0</v>
      </c>
      <c r="Q24" s="6">
        <f t="shared" si="3"/>
        <v>4</v>
      </c>
      <c r="R24" s="6">
        <f t="shared" si="3"/>
        <v>6</v>
      </c>
      <c r="S24" s="6">
        <f t="shared" si="3"/>
        <v>4</v>
      </c>
      <c r="T24" s="6">
        <f t="shared" si="3"/>
        <v>5</v>
      </c>
      <c r="U24" s="6">
        <f t="shared" si="3"/>
        <v>2</v>
      </c>
      <c r="V24" s="6">
        <f t="shared" si="3"/>
        <v>0</v>
      </c>
      <c r="W24" s="6">
        <f t="shared" si="3"/>
        <v>0</v>
      </c>
      <c r="X24" s="6">
        <f t="shared" si="3"/>
        <v>0</v>
      </c>
      <c r="Y24" s="6">
        <f t="shared" si="3"/>
        <v>0</v>
      </c>
      <c r="Z24" s="15">
        <f t="shared" si="3"/>
        <v>0</v>
      </c>
      <c r="AA24" s="20">
        <f t="shared" si="4"/>
        <v>25</v>
      </c>
      <c r="AB24" s="15">
        <f t="shared" si="5"/>
        <v>2</v>
      </c>
      <c r="AC24" s="8">
        <f t="shared" si="6"/>
        <v>0.92592592592592593</v>
      </c>
      <c r="AD24" s="8">
        <f t="shared" si="7"/>
        <v>7.407407407407407E-2</v>
      </c>
    </row>
    <row r="25" spans="1:30">
      <c r="N25" s="14">
        <v>30224</v>
      </c>
      <c r="O25" s="6">
        <f t="shared" si="3"/>
        <v>9</v>
      </c>
      <c r="P25" s="6">
        <f t="shared" si="3"/>
        <v>1</v>
      </c>
      <c r="Q25" s="6">
        <f t="shared" si="3"/>
        <v>4</v>
      </c>
      <c r="R25" s="6">
        <f t="shared" si="3"/>
        <v>2</v>
      </c>
      <c r="S25" s="6">
        <f t="shared" si="3"/>
        <v>4</v>
      </c>
      <c r="T25" s="6">
        <f t="shared" si="3"/>
        <v>3</v>
      </c>
      <c r="U25" s="6">
        <f t="shared" si="3"/>
        <v>3</v>
      </c>
      <c r="V25" s="6">
        <f t="shared" si="3"/>
        <v>1</v>
      </c>
      <c r="W25" s="6">
        <f t="shared" si="3"/>
        <v>1</v>
      </c>
      <c r="X25" s="6">
        <f t="shared" si="3"/>
        <v>1</v>
      </c>
      <c r="Y25" s="6">
        <f t="shared" si="3"/>
        <v>0</v>
      </c>
      <c r="Z25" s="15">
        <f t="shared" si="3"/>
        <v>0</v>
      </c>
      <c r="AA25" s="20">
        <f t="shared" si="4"/>
        <v>23</v>
      </c>
      <c r="AB25" s="15">
        <f t="shared" si="5"/>
        <v>6</v>
      </c>
      <c r="AC25" s="8">
        <f t="shared" si="6"/>
        <v>0.7931034482758621</v>
      </c>
      <c r="AD25" s="8">
        <f t="shared" si="7"/>
        <v>0.20689655172413793</v>
      </c>
    </row>
    <row r="26" spans="1:3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N26" s="14">
        <v>30225</v>
      </c>
      <c r="O26" s="6">
        <f t="shared" si="3"/>
        <v>7</v>
      </c>
      <c r="P26" s="6">
        <f t="shared" si="3"/>
        <v>5</v>
      </c>
      <c r="Q26" s="6">
        <f t="shared" si="3"/>
        <v>3</v>
      </c>
      <c r="R26" s="6">
        <f t="shared" si="3"/>
        <v>4</v>
      </c>
      <c r="S26" s="6">
        <f t="shared" si="3"/>
        <v>1</v>
      </c>
      <c r="T26" s="6">
        <f t="shared" si="3"/>
        <v>3</v>
      </c>
      <c r="U26" s="6">
        <f t="shared" si="3"/>
        <v>1</v>
      </c>
      <c r="V26" s="6">
        <f t="shared" si="3"/>
        <v>1</v>
      </c>
      <c r="W26" s="6">
        <f t="shared" si="3"/>
        <v>2</v>
      </c>
      <c r="X26" s="6">
        <f t="shared" si="3"/>
        <v>0</v>
      </c>
      <c r="Y26" s="6">
        <f t="shared" si="3"/>
        <v>0</v>
      </c>
      <c r="Z26" s="15">
        <f t="shared" si="3"/>
        <v>0</v>
      </c>
      <c r="AA26" s="20">
        <f t="shared" si="4"/>
        <v>23</v>
      </c>
      <c r="AB26" s="15">
        <f t="shared" si="5"/>
        <v>4</v>
      </c>
      <c r="AC26" s="8">
        <f t="shared" si="6"/>
        <v>0.85185185185185186</v>
      </c>
      <c r="AD26" s="8">
        <f t="shared" si="7"/>
        <v>0.14814814814814814</v>
      </c>
    </row>
    <row r="27" spans="1:30">
      <c r="D27" s="6" t="s">
        <v>10</v>
      </c>
      <c r="G27" s="6" t="s">
        <v>1</v>
      </c>
      <c r="H27" s="6" t="s">
        <v>2</v>
      </c>
      <c r="N27" s="14">
        <v>30226</v>
      </c>
      <c r="O27" s="6">
        <f t="shared" si="3"/>
        <v>9</v>
      </c>
      <c r="P27" s="6">
        <f t="shared" si="3"/>
        <v>3</v>
      </c>
      <c r="Q27" s="6">
        <f t="shared" si="3"/>
        <v>1</v>
      </c>
      <c r="R27" s="6">
        <f t="shared" si="3"/>
        <v>2</v>
      </c>
      <c r="S27" s="6">
        <f t="shared" si="3"/>
        <v>6</v>
      </c>
      <c r="T27" s="6">
        <f t="shared" si="3"/>
        <v>3</v>
      </c>
      <c r="U27" s="6">
        <f t="shared" si="3"/>
        <v>1</v>
      </c>
      <c r="V27" s="6">
        <f t="shared" si="3"/>
        <v>2</v>
      </c>
      <c r="W27" s="6">
        <f t="shared" si="3"/>
        <v>0</v>
      </c>
      <c r="X27" s="6">
        <f t="shared" si="3"/>
        <v>0</v>
      </c>
      <c r="Y27" s="6">
        <f t="shared" si="3"/>
        <v>0</v>
      </c>
      <c r="Z27" s="15">
        <f t="shared" si="3"/>
        <v>0</v>
      </c>
      <c r="AA27" s="20">
        <f t="shared" si="4"/>
        <v>24</v>
      </c>
      <c r="AB27" s="15">
        <f t="shared" si="5"/>
        <v>3</v>
      </c>
      <c r="AC27" s="8">
        <f t="shared" si="6"/>
        <v>0.88888888888888884</v>
      </c>
      <c r="AD27" s="8">
        <f t="shared" si="7"/>
        <v>0.1111111111111111</v>
      </c>
    </row>
    <row r="28" spans="1:30">
      <c r="C28" s="6">
        <v>30221</v>
      </c>
      <c r="D28" s="7">
        <f t="shared" ref="D28:D37" si="8">SUMIFS(notapartial,grupa,C28, notapartial, "&lt;&gt;")/COUNTIFS(grupa, C28,notapartial, "&lt;&gt;")</f>
        <v>1.6461538461538459</v>
      </c>
      <c r="G28" s="6">
        <v>10</v>
      </c>
      <c r="H28" s="6">
        <f t="shared" ref="H28:H38" si="9">COUNTIF(nota, G28)</f>
        <v>76</v>
      </c>
      <c r="J28" s="8">
        <f>H28/$H$19</f>
        <v>0.25938566552901021</v>
      </c>
      <c r="N28" s="14">
        <v>30227</v>
      </c>
      <c r="O28" s="6">
        <f t="shared" si="3"/>
        <v>3</v>
      </c>
      <c r="P28" s="6">
        <f t="shared" si="3"/>
        <v>3</v>
      </c>
      <c r="Q28" s="6">
        <f t="shared" si="3"/>
        <v>7</v>
      </c>
      <c r="R28" s="6">
        <f t="shared" si="3"/>
        <v>4</v>
      </c>
      <c r="S28" s="6">
        <f t="shared" si="3"/>
        <v>1</v>
      </c>
      <c r="T28" s="6">
        <f t="shared" si="3"/>
        <v>7</v>
      </c>
      <c r="U28" s="6">
        <f t="shared" si="3"/>
        <v>2</v>
      </c>
      <c r="V28" s="6">
        <f t="shared" si="3"/>
        <v>1</v>
      </c>
      <c r="W28" s="6">
        <f t="shared" si="3"/>
        <v>0</v>
      </c>
      <c r="X28" s="6">
        <f t="shared" si="3"/>
        <v>0</v>
      </c>
      <c r="Y28" s="6">
        <f t="shared" si="3"/>
        <v>0</v>
      </c>
      <c r="Z28" s="15">
        <f t="shared" si="3"/>
        <v>0</v>
      </c>
      <c r="AA28" s="20">
        <f t="shared" si="4"/>
        <v>25</v>
      </c>
      <c r="AB28" s="15">
        <f t="shared" si="5"/>
        <v>3</v>
      </c>
      <c r="AC28" s="8">
        <f t="shared" si="6"/>
        <v>0.8928571428571429</v>
      </c>
      <c r="AD28" s="8">
        <f t="shared" si="7"/>
        <v>0.10714285714285714</v>
      </c>
    </row>
    <row r="29" spans="1:30">
      <c r="C29" s="6">
        <v>30222</v>
      </c>
      <c r="D29" s="7">
        <f t="shared" si="8"/>
        <v>1.5357142857142858</v>
      </c>
      <c r="G29" s="6">
        <v>9</v>
      </c>
      <c r="H29" s="6">
        <f t="shared" si="9"/>
        <v>29</v>
      </c>
      <c r="J29" s="8">
        <f>H29/$H$19</f>
        <v>9.8976109215017066E-2</v>
      </c>
      <c r="N29" s="14">
        <v>30228</v>
      </c>
      <c r="O29" s="6">
        <f t="shared" si="3"/>
        <v>11</v>
      </c>
      <c r="P29" s="6">
        <f t="shared" si="3"/>
        <v>3</v>
      </c>
      <c r="Q29" s="6">
        <f t="shared" si="3"/>
        <v>3</v>
      </c>
      <c r="R29" s="6">
        <f t="shared" si="3"/>
        <v>2</v>
      </c>
      <c r="S29" s="6">
        <f t="shared" si="3"/>
        <v>4</v>
      </c>
      <c r="T29" s="6">
        <f t="shared" si="3"/>
        <v>1</v>
      </c>
      <c r="U29" s="6">
        <f t="shared" si="3"/>
        <v>1</v>
      </c>
      <c r="V29" s="6">
        <f t="shared" si="3"/>
        <v>3</v>
      </c>
      <c r="W29" s="6">
        <f t="shared" si="3"/>
        <v>0</v>
      </c>
      <c r="X29" s="6">
        <f t="shared" si="3"/>
        <v>0</v>
      </c>
      <c r="Y29" s="6">
        <f t="shared" si="3"/>
        <v>1</v>
      </c>
      <c r="Z29" s="15">
        <f t="shared" si="3"/>
        <v>1</v>
      </c>
      <c r="AA29" s="20">
        <f t="shared" si="4"/>
        <v>24</v>
      </c>
      <c r="AB29" s="15">
        <f t="shared" si="5"/>
        <v>6</v>
      </c>
      <c r="AC29" s="8">
        <f t="shared" si="6"/>
        <v>0.8</v>
      </c>
      <c r="AD29" s="8">
        <f t="shared" si="7"/>
        <v>0.2</v>
      </c>
    </row>
    <row r="30" spans="1:30">
      <c r="C30" s="6">
        <v>30223</v>
      </c>
      <c r="D30" s="7">
        <f t="shared" si="8"/>
        <v>1.5851851851851853</v>
      </c>
      <c r="G30" s="6">
        <v>8</v>
      </c>
      <c r="H30" s="6">
        <f t="shared" si="9"/>
        <v>44</v>
      </c>
      <c r="J30" s="8">
        <f>H30/$H$19</f>
        <v>0.15017064846416384</v>
      </c>
      <c r="N30" s="14">
        <v>30229</v>
      </c>
      <c r="O30" s="6">
        <f t="shared" si="3"/>
        <v>12</v>
      </c>
      <c r="P30" s="6">
        <f t="shared" si="3"/>
        <v>4</v>
      </c>
      <c r="Q30" s="6">
        <f t="shared" si="3"/>
        <v>5</v>
      </c>
      <c r="R30" s="6">
        <f t="shared" si="3"/>
        <v>2</v>
      </c>
      <c r="S30" s="6">
        <f t="shared" si="3"/>
        <v>0</v>
      </c>
      <c r="T30" s="6">
        <f t="shared" si="3"/>
        <v>2</v>
      </c>
      <c r="U30" s="6">
        <f t="shared" si="3"/>
        <v>2</v>
      </c>
      <c r="V30" s="6">
        <f t="shared" si="3"/>
        <v>1</v>
      </c>
      <c r="W30" s="6">
        <f t="shared" si="3"/>
        <v>0</v>
      </c>
      <c r="X30" s="6">
        <f t="shared" si="3"/>
        <v>0</v>
      </c>
      <c r="Y30" s="6">
        <f t="shared" si="3"/>
        <v>1</v>
      </c>
      <c r="Z30" s="15">
        <f t="shared" si="3"/>
        <v>0</v>
      </c>
      <c r="AA30" s="20">
        <f t="shared" si="4"/>
        <v>25</v>
      </c>
      <c r="AB30" s="15">
        <f t="shared" si="5"/>
        <v>4</v>
      </c>
      <c r="AC30" s="8">
        <f t="shared" si="6"/>
        <v>0.86206896551724133</v>
      </c>
      <c r="AD30" s="8">
        <f t="shared" si="7"/>
        <v>0.13793103448275862</v>
      </c>
    </row>
    <row r="31" spans="1:30" ht="14.45" thickBot="1">
      <c r="C31" s="6">
        <v>30224</v>
      </c>
      <c r="D31" s="7">
        <f t="shared" si="8"/>
        <v>1.4464285714285716</v>
      </c>
      <c r="G31" s="6">
        <v>7</v>
      </c>
      <c r="H31" s="6">
        <f t="shared" si="9"/>
        <v>31</v>
      </c>
      <c r="J31" s="8">
        <f>H31/$H$19</f>
        <v>0.10580204778156997</v>
      </c>
      <c r="N31" s="60">
        <v>302210</v>
      </c>
      <c r="O31" s="61">
        <f t="shared" si="3"/>
        <v>5</v>
      </c>
      <c r="P31" s="61">
        <f t="shared" si="3"/>
        <v>5</v>
      </c>
      <c r="Q31" s="61">
        <f t="shared" si="3"/>
        <v>6</v>
      </c>
      <c r="R31" s="61">
        <f t="shared" si="3"/>
        <v>2</v>
      </c>
      <c r="S31" s="61">
        <f t="shared" si="3"/>
        <v>6</v>
      </c>
      <c r="T31" s="61">
        <f t="shared" si="3"/>
        <v>3</v>
      </c>
      <c r="U31" s="61">
        <f t="shared" si="3"/>
        <v>0</v>
      </c>
      <c r="V31" s="61">
        <f t="shared" si="3"/>
        <v>0</v>
      </c>
      <c r="W31" s="61">
        <f t="shared" si="3"/>
        <v>1</v>
      </c>
      <c r="X31" s="61">
        <f t="shared" si="3"/>
        <v>0</v>
      </c>
      <c r="Y31" s="61">
        <f t="shared" si="3"/>
        <v>1</v>
      </c>
      <c r="Z31" s="62">
        <f t="shared" si="3"/>
        <v>1</v>
      </c>
      <c r="AA31" s="63">
        <f t="shared" ref="AA31" si="10">SUM(O31:T31)</f>
        <v>27</v>
      </c>
      <c r="AB31" s="62">
        <f t="shared" ref="AB31" si="11">SUM(U31:Z31)</f>
        <v>3</v>
      </c>
      <c r="AC31" s="8">
        <f t="shared" ref="AC31" si="12">AA31/SUM(O31:Z31)</f>
        <v>0.9</v>
      </c>
      <c r="AD31" s="8">
        <f t="shared" ref="AD31" si="13">AB31/SUM(O31:Z31)</f>
        <v>0.1</v>
      </c>
    </row>
    <row r="32" spans="1:30">
      <c r="C32" s="6">
        <v>30225</v>
      </c>
      <c r="D32" s="7">
        <f t="shared" si="8"/>
        <v>1.7096153846153845</v>
      </c>
      <c r="G32" s="6">
        <v>6</v>
      </c>
      <c r="H32" s="6">
        <f t="shared" si="9"/>
        <v>31</v>
      </c>
      <c r="J32" s="8">
        <f>H32/$H$19</f>
        <v>0.10580204778156997</v>
      </c>
      <c r="N32" s="23" t="s">
        <v>11</v>
      </c>
      <c r="O32" s="18">
        <f t="shared" ref="O32:Z33" si="14">COUNTIFS(nota, O$21, grupa, $N32)</f>
        <v>0</v>
      </c>
      <c r="P32" s="24">
        <f t="shared" si="14"/>
        <v>0</v>
      </c>
      <c r="Q32" s="24">
        <f t="shared" si="14"/>
        <v>0</v>
      </c>
      <c r="R32" s="24">
        <f t="shared" si="14"/>
        <v>0</v>
      </c>
      <c r="S32" s="24">
        <f t="shared" si="14"/>
        <v>0</v>
      </c>
      <c r="T32" s="24">
        <f t="shared" si="14"/>
        <v>0</v>
      </c>
      <c r="U32" s="24">
        <f t="shared" si="14"/>
        <v>0</v>
      </c>
      <c r="V32" s="24">
        <f t="shared" si="14"/>
        <v>0</v>
      </c>
      <c r="W32" s="24">
        <f t="shared" si="14"/>
        <v>0</v>
      </c>
      <c r="X32" s="24">
        <f t="shared" si="14"/>
        <v>0</v>
      </c>
      <c r="Y32" s="24">
        <f t="shared" si="14"/>
        <v>0</v>
      </c>
      <c r="Z32" s="19">
        <f t="shared" si="14"/>
        <v>0</v>
      </c>
      <c r="AA32" s="18">
        <f>SUM(O32:T32)</f>
        <v>0</v>
      </c>
      <c r="AB32" s="19">
        <f>SUM(U32:Z32)</f>
        <v>0</v>
      </c>
      <c r="AC32" s="8" t="e">
        <f>AA32/SUM(O32:Z32)</f>
        <v>#DIV/0!</v>
      </c>
      <c r="AD32" s="8" t="e">
        <f>AB32/SUM(O32:Z32)</f>
        <v>#DIV/0!</v>
      </c>
    </row>
    <row r="33" spans="3:30" ht="14.45" thickBot="1">
      <c r="C33" s="6">
        <v>30226</v>
      </c>
      <c r="D33" s="7">
        <f t="shared" si="8"/>
        <v>1.974</v>
      </c>
      <c r="G33" s="6">
        <v>5</v>
      </c>
      <c r="H33" s="6">
        <f t="shared" si="9"/>
        <v>35</v>
      </c>
      <c r="J33" s="8">
        <f t="shared" ref="J33:J38" si="15">H33/$H$19</f>
        <v>0.11945392491467577</v>
      </c>
      <c r="N33" s="25" t="s">
        <v>12</v>
      </c>
      <c r="O33" s="21">
        <f t="shared" si="14"/>
        <v>0</v>
      </c>
      <c r="P33" s="16">
        <f t="shared" si="14"/>
        <v>0</v>
      </c>
      <c r="Q33" s="16">
        <f t="shared" si="14"/>
        <v>0</v>
      </c>
      <c r="R33" s="16">
        <f t="shared" si="14"/>
        <v>0</v>
      </c>
      <c r="S33" s="16">
        <f t="shared" si="14"/>
        <v>0</v>
      </c>
      <c r="T33" s="16">
        <f t="shared" si="14"/>
        <v>0</v>
      </c>
      <c r="U33" s="16">
        <f t="shared" si="14"/>
        <v>0</v>
      </c>
      <c r="V33" s="16">
        <f t="shared" si="14"/>
        <v>0</v>
      </c>
      <c r="W33" s="16">
        <f t="shared" si="14"/>
        <v>0</v>
      </c>
      <c r="X33" s="16">
        <f t="shared" si="14"/>
        <v>0</v>
      </c>
      <c r="Y33" s="16">
        <f t="shared" si="14"/>
        <v>0</v>
      </c>
      <c r="Z33" s="17">
        <f t="shared" si="14"/>
        <v>0</v>
      </c>
      <c r="AA33" s="21">
        <f>SUM(O33:T33)</f>
        <v>0</v>
      </c>
      <c r="AB33" s="17">
        <f>SUM(U33:Z33)</f>
        <v>0</v>
      </c>
      <c r="AC33" s="8" t="e">
        <f>AA33/SUM(O33:Z33)</f>
        <v>#DIV/0!</v>
      </c>
      <c r="AD33" s="8" t="e">
        <f>AB33/SUM(O33:Z33)</f>
        <v>#DIV/0!</v>
      </c>
    </row>
    <row r="34" spans="3:30">
      <c r="C34" s="6">
        <v>30227</v>
      </c>
      <c r="D34" s="7">
        <f t="shared" si="8"/>
        <v>1.9749999999999996</v>
      </c>
      <c r="G34" s="6">
        <v>4</v>
      </c>
      <c r="H34" s="6">
        <f t="shared" si="9"/>
        <v>18</v>
      </c>
      <c r="J34" s="8">
        <f t="shared" si="15"/>
        <v>6.1433447098976107E-2</v>
      </c>
    </row>
    <row r="35" spans="3:30">
      <c r="C35" s="6">
        <v>30228</v>
      </c>
      <c r="D35" s="7">
        <f t="shared" si="8"/>
        <v>1.9833333333333332</v>
      </c>
      <c r="G35" s="6">
        <v>3</v>
      </c>
      <c r="H35" s="6">
        <f t="shared" si="9"/>
        <v>13</v>
      </c>
      <c r="J35" s="8">
        <f t="shared" si="15"/>
        <v>4.4368600682593858E-2</v>
      </c>
    </row>
    <row r="36" spans="3:30">
      <c r="C36" s="6">
        <v>30229</v>
      </c>
      <c r="D36" s="7">
        <f t="shared" si="8"/>
        <v>2.2910714285714282</v>
      </c>
      <c r="G36" s="6">
        <v>2</v>
      </c>
      <c r="H36" s="6">
        <f t="shared" si="9"/>
        <v>6</v>
      </c>
      <c r="J36" s="8">
        <f t="shared" si="15"/>
        <v>2.0477815699658702E-2</v>
      </c>
    </row>
    <row r="37" spans="3:30">
      <c r="C37" s="6">
        <v>302210</v>
      </c>
      <c r="D37" s="7">
        <f t="shared" si="8"/>
        <v>1.88448275862069</v>
      </c>
      <c r="G37" s="6">
        <v>1</v>
      </c>
      <c r="H37" s="6">
        <f t="shared" si="9"/>
        <v>5</v>
      </c>
      <c r="J37" s="8">
        <f t="shared" si="15"/>
        <v>1.7064846416382253E-2</v>
      </c>
    </row>
    <row r="38" spans="3:30">
      <c r="G38" s="6">
        <v>-2</v>
      </c>
      <c r="H38" s="6">
        <f t="shared" si="9"/>
        <v>2</v>
      </c>
      <c r="J38" s="8">
        <f t="shared" si="15"/>
        <v>6.8259385665529011E-3</v>
      </c>
    </row>
  </sheetData>
  <conditionalFormatting sqref="D5:D1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{37DEBC0B-3255-4060-8549-07E4C97FA777}</x14:id>
        </ext>
      </extLst>
    </cfRule>
  </conditionalFormatting>
  <conditionalFormatting sqref="D28:D3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{746A51AD-9D12-47CE-975D-CC9EF98AEF3D}</x14:id>
        </ext>
      </extLst>
    </cfRule>
  </conditionalFormatting>
  <conditionalFormatting sqref="AC22:AC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{8AC00CE9-6894-4AA5-B165-48F193D9AE27}</x14:id>
        </ext>
      </extLst>
    </cfRule>
  </conditionalFormatting>
  <conditionalFormatting sqref="AD22:AD3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{906FACA9-890E-4F85-AC85-13A077F0AA66}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DEBC0B-3255-4060-8549-07E4C97FA7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D5:D14</xm:sqref>
        </x14:conditionalFormatting>
        <x14:conditionalFormatting xmlns:xm="http://schemas.microsoft.com/office/excel/2006/main">
          <x14:cfRule type="dataBar" id="{746A51AD-9D12-47CE-975D-CC9EF98AE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D28:D37</xm:sqref>
        </x14:conditionalFormatting>
        <x14:conditionalFormatting xmlns:xm="http://schemas.microsoft.com/office/excel/2006/main">
          <x14:cfRule type="dataBar" id="{8AC00CE9-6894-4AA5-B165-48F193D9AE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AC22:AC33</xm:sqref>
        </x14:conditionalFormatting>
        <x14:conditionalFormatting xmlns:xm="http://schemas.microsoft.com/office/excel/2006/main">
          <x14:cfRule type="dataBar" id="{906FACA9-890E-4F85-AC85-13A077F0AA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AD22:AD33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9853-AC66-40DF-A2A8-57A9DA68A11B}">
  <dimension ref="C3:C23"/>
  <sheetViews>
    <sheetView workbookViewId="0">
      <selection activeCell="C4" sqref="C4"/>
    </sheetView>
  </sheetViews>
  <sheetFormatPr defaultColWidth="8.75" defaultRowHeight="14.45"/>
  <cols>
    <col min="1" max="16384" width="8.75" style="4"/>
  </cols>
  <sheetData>
    <row r="3" spans="3:3">
      <c r="C3" s="4" t="s">
        <v>13</v>
      </c>
    </row>
    <row r="4" spans="3:3">
      <c r="C4" s="5" t="s">
        <v>14</v>
      </c>
    </row>
    <row r="5" spans="3:3">
      <c r="C5" s="5" t="s">
        <v>15</v>
      </c>
    </row>
    <row r="6" spans="3:3">
      <c r="C6" s="5" t="s">
        <v>16</v>
      </c>
    </row>
    <row r="7" spans="3:3">
      <c r="C7" s="5" t="s">
        <v>17</v>
      </c>
    </row>
    <row r="8" spans="3:3">
      <c r="C8" s="5" t="s">
        <v>18</v>
      </c>
    </row>
    <row r="9" spans="3:3">
      <c r="C9" s="5" t="s">
        <v>19</v>
      </c>
    </row>
    <row r="10" spans="3:3">
      <c r="C10" s="5" t="s">
        <v>20</v>
      </c>
    </row>
    <row r="11" spans="3:3">
      <c r="C11" s="5" t="s">
        <v>21</v>
      </c>
    </row>
    <row r="12" spans="3:3">
      <c r="C12" s="5" t="s">
        <v>22</v>
      </c>
    </row>
    <row r="13" spans="3:3">
      <c r="C13" s="5" t="s">
        <v>23</v>
      </c>
    </row>
    <row r="14" spans="3:3">
      <c r="C14" s="5" t="s">
        <v>24</v>
      </c>
    </row>
    <row r="15" spans="3:3">
      <c r="C15" s="5" t="s">
        <v>25</v>
      </c>
    </row>
    <row r="16" spans="3:3">
      <c r="C16" s="5" t="s">
        <v>26</v>
      </c>
    </row>
    <row r="17" spans="3:3">
      <c r="C17" s="5" t="s">
        <v>27</v>
      </c>
    </row>
    <row r="18" spans="3:3">
      <c r="C18" s="5" t="s">
        <v>28</v>
      </c>
    </row>
    <row r="19" spans="3:3">
      <c r="C19" s="5" t="s">
        <v>29</v>
      </c>
    </row>
    <row r="20" spans="3:3">
      <c r="C20" s="5" t="s">
        <v>30</v>
      </c>
    </row>
    <row r="21" spans="3:3">
      <c r="C21" s="5" t="s">
        <v>31</v>
      </c>
    </row>
    <row r="22" spans="3:3">
      <c r="C22" s="5" t="s">
        <v>32</v>
      </c>
    </row>
    <row r="23" spans="3:3">
      <c r="C23" s="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6031-5C54-4E54-A278-F4D94BD85F77}">
  <dimension ref="A1:AA923"/>
  <sheetViews>
    <sheetView tabSelected="1" zoomScale="85" zoomScaleNormal="85" workbookViewId="0">
      <pane ySplit="2" topLeftCell="C21" activePane="bottomLeft" state="frozen"/>
      <selection pane="bottomLeft" activeCell="L39" sqref="L39"/>
      <selection activeCell="W3" sqref="W3:W274"/>
    </sheetView>
  </sheetViews>
  <sheetFormatPr defaultColWidth="12.625" defaultRowHeight="15" customHeight="1"/>
  <cols>
    <col min="1" max="2" width="6.375" style="4" customWidth="1"/>
    <col min="3" max="3" width="10.25" style="4" customWidth="1"/>
    <col min="4" max="4" width="27.625" style="4" customWidth="1"/>
    <col min="5" max="5" width="10.25" style="4" customWidth="1"/>
    <col min="6" max="12" width="8.625" style="4" customWidth="1"/>
    <col min="13" max="13" width="8.875" style="4" customWidth="1"/>
    <col min="14" max="15" width="8.875" style="69" customWidth="1"/>
    <col min="16" max="16" width="7.75" style="4" customWidth="1"/>
    <col min="17" max="24" width="7.625" style="4" customWidth="1"/>
    <col min="25" max="25" width="8" style="50" customWidth="1"/>
    <col min="26" max="26" width="9.625" style="50" customWidth="1"/>
    <col min="27" max="27" width="25.875" style="64" customWidth="1"/>
    <col min="28" max="16384" width="12.625" style="4"/>
  </cols>
  <sheetData>
    <row r="1" spans="1:27" ht="14.25" customHeight="1">
      <c r="A1" s="84" t="s">
        <v>34</v>
      </c>
      <c r="B1" s="85"/>
      <c r="C1" s="85"/>
      <c r="D1" s="86"/>
      <c r="E1" s="1"/>
      <c r="F1" s="2"/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2"/>
      <c r="M1" s="2"/>
      <c r="N1" s="72"/>
      <c r="O1" s="72"/>
      <c r="P1" s="2"/>
      <c r="Q1" s="2"/>
      <c r="R1" s="2"/>
      <c r="S1" s="2"/>
      <c r="T1" s="2"/>
      <c r="U1" s="2"/>
      <c r="V1" s="2"/>
      <c r="W1" s="2"/>
      <c r="X1" s="2"/>
      <c r="Y1" s="49"/>
      <c r="Z1" s="49"/>
    </row>
    <row r="2" spans="1:27" ht="14.25" customHeight="1">
      <c r="A2" s="51" t="s">
        <v>40</v>
      </c>
      <c r="B2" s="51" t="s">
        <v>41</v>
      </c>
      <c r="C2" s="51" t="s">
        <v>42</v>
      </c>
      <c r="D2" s="51" t="s">
        <v>43</v>
      </c>
      <c r="E2" s="51" t="s">
        <v>44</v>
      </c>
      <c r="F2" s="51" t="s">
        <v>45</v>
      </c>
      <c r="G2" s="51" t="s">
        <v>46</v>
      </c>
      <c r="H2" s="51" t="s">
        <v>47</v>
      </c>
      <c r="I2" s="51" t="s">
        <v>48</v>
      </c>
      <c r="J2" s="51" t="s">
        <v>49</v>
      </c>
      <c r="K2" s="51" t="s">
        <v>50</v>
      </c>
      <c r="L2" s="51" t="s">
        <v>51</v>
      </c>
      <c r="M2" s="51" t="s">
        <v>52</v>
      </c>
      <c r="N2" s="52" t="s">
        <v>53</v>
      </c>
      <c r="O2" s="52" t="s">
        <v>54</v>
      </c>
      <c r="P2" s="51" t="s">
        <v>55</v>
      </c>
      <c r="Q2" s="51" t="s">
        <v>56</v>
      </c>
      <c r="R2" s="51" t="s">
        <v>57</v>
      </c>
      <c r="S2" s="51" t="s">
        <v>58</v>
      </c>
      <c r="T2" s="51" t="s">
        <v>59</v>
      </c>
      <c r="U2" s="51" t="s">
        <v>60</v>
      </c>
      <c r="V2" s="51" t="s">
        <v>61</v>
      </c>
      <c r="W2" s="51" t="s">
        <v>62</v>
      </c>
      <c r="X2" s="51" t="s">
        <v>63</v>
      </c>
      <c r="Y2" s="52" t="s">
        <v>64</v>
      </c>
      <c r="Z2" s="52" t="s">
        <v>65</v>
      </c>
      <c r="AA2" s="51" t="s">
        <v>66</v>
      </c>
    </row>
    <row r="3" spans="1:27" ht="14.25" customHeight="1">
      <c r="A3" s="26">
        <v>1</v>
      </c>
      <c r="B3" s="26">
        <v>1</v>
      </c>
      <c r="C3" s="39">
        <v>30221</v>
      </c>
      <c r="D3" s="73" t="s">
        <v>67</v>
      </c>
      <c r="E3" s="26" t="s">
        <v>14</v>
      </c>
      <c r="F3" s="27" t="s">
        <v>68</v>
      </c>
      <c r="G3" s="28">
        <v>0.43</v>
      </c>
      <c r="H3" s="28">
        <v>0.35</v>
      </c>
      <c r="I3" s="28">
        <v>0.3</v>
      </c>
      <c r="J3" s="28">
        <v>0.5</v>
      </c>
      <c r="K3" s="28">
        <v>0.45</v>
      </c>
      <c r="L3" s="28" t="s">
        <v>68</v>
      </c>
      <c r="M3" s="29">
        <f t="shared" ref="M3:M66" si="0">SUM(G3:K3)</f>
        <v>2.0300000000000002</v>
      </c>
      <c r="N3" s="74">
        <v>0.05</v>
      </c>
      <c r="O3" s="74"/>
      <c r="P3" s="30">
        <v>1.3</v>
      </c>
      <c r="Q3" s="54">
        <v>0.8</v>
      </c>
      <c r="R3" s="30"/>
      <c r="S3" s="30"/>
      <c r="T3" s="55">
        <v>3.3</v>
      </c>
      <c r="U3" s="31"/>
      <c r="V3" s="31"/>
      <c r="W3" s="38">
        <f>Table132[[#This Row],[Suma lab]]+Table132[[#This Row],[Q1]]+Table132[[#This Row],[Q2]]+MAX(Table132[[#This Row],[Partial]:[re2p]])+MAX(Table132[[#This Row],[Final]:[re2f]])</f>
        <v>6.68</v>
      </c>
      <c r="X3" s="70">
        <f>IF(Table132[[#This Row],[Total]]&gt;=9.5, 10, ROUND(Table132[[#This Row],[Total]],0))</f>
        <v>7</v>
      </c>
      <c r="Y3" s="28"/>
      <c r="Z3" s="28"/>
      <c r="AA3" s="65"/>
    </row>
    <row r="4" spans="1:27" ht="14.25" customHeight="1">
      <c r="A4" s="26">
        <v>2</v>
      </c>
      <c r="B4" s="26">
        <v>2</v>
      </c>
      <c r="C4" s="39">
        <v>30221</v>
      </c>
      <c r="D4" s="73" t="s">
        <v>69</v>
      </c>
      <c r="E4" s="26" t="s">
        <v>14</v>
      </c>
      <c r="F4" s="27" t="s">
        <v>68</v>
      </c>
      <c r="G4" s="28">
        <v>0.4</v>
      </c>
      <c r="H4" s="28">
        <v>0.25</v>
      </c>
      <c r="I4" s="28">
        <v>0.2</v>
      </c>
      <c r="J4" s="28">
        <v>0.5</v>
      </c>
      <c r="K4" s="28">
        <v>0.2</v>
      </c>
      <c r="L4" s="28" t="s">
        <v>68</v>
      </c>
      <c r="M4" s="29">
        <f t="shared" si="0"/>
        <v>1.55</v>
      </c>
      <c r="N4" s="74">
        <v>0.2</v>
      </c>
      <c r="O4" s="74"/>
      <c r="P4" s="30">
        <v>1.7</v>
      </c>
      <c r="Q4" s="54">
        <v>0</v>
      </c>
      <c r="R4" s="30"/>
      <c r="S4" s="30"/>
      <c r="T4" s="55">
        <v>3.2</v>
      </c>
      <c r="U4" s="56"/>
      <c r="V4" s="31"/>
      <c r="W4" s="38">
        <f>Table132[[#This Row],[Suma lab]]+Table132[[#This Row],[Q1]]+Table132[[#This Row],[Q2]]+MAX(Table132[[#This Row],[Partial]:[re2p]])+MAX(Table132[[#This Row],[Final]:[re2f]])</f>
        <v>6.65</v>
      </c>
      <c r="X4" s="70">
        <f>IF(Table132[[#This Row],[Total]]&gt;=9.5, 10, ROUND(Table132[[#This Row],[Total]],0))</f>
        <v>7</v>
      </c>
      <c r="Y4" s="28"/>
      <c r="Z4" s="28"/>
      <c r="AA4" s="65"/>
    </row>
    <row r="5" spans="1:27" ht="14.25" customHeight="1">
      <c r="A5" s="26">
        <v>3</v>
      </c>
      <c r="B5" s="26">
        <v>3</v>
      </c>
      <c r="C5" s="39">
        <v>30221</v>
      </c>
      <c r="D5" s="73" t="s">
        <v>70</v>
      </c>
      <c r="E5" s="32" t="s">
        <v>14</v>
      </c>
      <c r="F5" s="33" t="s">
        <v>68</v>
      </c>
      <c r="G5" s="34">
        <v>0.6</v>
      </c>
      <c r="H5" s="34">
        <v>0.5</v>
      </c>
      <c r="I5" s="34">
        <v>0.1</v>
      </c>
      <c r="J5" s="34">
        <v>0.6</v>
      </c>
      <c r="K5" s="34">
        <v>0.55000000000000004</v>
      </c>
      <c r="L5" s="34" t="s">
        <v>68</v>
      </c>
      <c r="M5" s="29">
        <f t="shared" si="0"/>
        <v>2.3500000000000005</v>
      </c>
      <c r="N5" s="75">
        <v>0.3</v>
      </c>
      <c r="O5" s="75"/>
      <c r="P5" s="36">
        <v>3.2</v>
      </c>
      <c r="Q5" s="58">
        <v>0</v>
      </c>
      <c r="R5" s="36"/>
      <c r="S5" s="36"/>
      <c r="T5" s="59">
        <v>5.5</v>
      </c>
      <c r="U5" s="37"/>
      <c r="V5" s="37"/>
      <c r="W5" s="38">
        <f>Table132[[#This Row],[Suma lab]]+Table132[[#This Row],[Q1]]+Table132[[#This Row],[Q2]]+MAX(Table132[[#This Row],[Partial]:[re2p]])+MAX(Table132[[#This Row],[Final]:[re2f]])</f>
        <v>11.350000000000001</v>
      </c>
      <c r="X5" s="70">
        <f>IF(Table132[[#This Row],[Total]]&gt;=9.5, 10, ROUND(Table132[[#This Row],[Total]],0))</f>
        <v>10</v>
      </c>
      <c r="Y5" s="34"/>
      <c r="Z5" s="34"/>
      <c r="AA5" s="66"/>
    </row>
    <row r="6" spans="1:27" ht="14.25" customHeight="1">
      <c r="A6" s="26">
        <v>4</v>
      </c>
      <c r="B6" s="26">
        <v>4</v>
      </c>
      <c r="C6" s="39">
        <v>30221</v>
      </c>
      <c r="D6" s="73" t="s">
        <v>71</v>
      </c>
      <c r="E6" s="26" t="s">
        <v>14</v>
      </c>
      <c r="F6" s="27" t="s">
        <v>68</v>
      </c>
      <c r="G6" s="28">
        <v>0.38</v>
      </c>
      <c r="H6" s="28">
        <v>0.35</v>
      </c>
      <c r="I6" s="28">
        <v>0.05</v>
      </c>
      <c r="J6" s="28">
        <v>0.2</v>
      </c>
      <c r="K6" s="28">
        <v>0.2</v>
      </c>
      <c r="L6" s="28" t="s">
        <v>68</v>
      </c>
      <c r="M6" s="29">
        <f t="shared" si="0"/>
        <v>1.18</v>
      </c>
      <c r="N6" s="74">
        <v>0.4</v>
      </c>
      <c r="O6" s="74"/>
      <c r="P6" s="30">
        <v>1.4</v>
      </c>
      <c r="Q6" s="54">
        <v>0.7</v>
      </c>
      <c r="R6" s="30"/>
      <c r="S6" s="30"/>
      <c r="T6" s="55">
        <v>2.2999999999999998</v>
      </c>
      <c r="U6" s="31"/>
      <c r="V6" s="31"/>
      <c r="W6" s="38">
        <f>Table132[[#This Row],[Suma lab]]+Table132[[#This Row],[Q1]]+Table132[[#This Row],[Q2]]+MAX(Table132[[#This Row],[Partial]:[re2p]])+MAX(Table132[[#This Row],[Final]:[re2f]])</f>
        <v>5.2799999999999994</v>
      </c>
      <c r="X6" s="70">
        <f>IF(Table132[[#This Row],[Total]]&gt;=9.5, 10, ROUND(Table132[[#This Row],[Total]],0))</f>
        <v>5</v>
      </c>
      <c r="Y6" s="28"/>
      <c r="Z6" s="28"/>
      <c r="AA6" s="65"/>
    </row>
    <row r="7" spans="1:27" ht="14.25" customHeight="1">
      <c r="A7" s="26">
        <v>5</v>
      </c>
      <c r="B7" s="26">
        <v>5</v>
      </c>
      <c r="C7" s="39">
        <v>30221</v>
      </c>
      <c r="D7" s="73" t="s">
        <v>72</v>
      </c>
      <c r="E7" s="26" t="s">
        <v>14</v>
      </c>
      <c r="F7" s="27" t="s">
        <v>68</v>
      </c>
      <c r="G7" s="28">
        <v>0.48</v>
      </c>
      <c r="H7" s="28">
        <v>0.25</v>
      </c>
      <c r="I7" s="28">
        <v>0.25</v>
      </c>
      <c r="J7" s="28">
        <v>0.5</v>
      </c>
      <c r="K7" s="28">
        <v>0.2</v>
      </c>
      <c r="L7" s="28" t="s">
        <v>68</v>
      </c>
      <c r="M7" s="29">
        <f t="shared" si="0"/>
        <v>1.68</v>
      </c>
      <c r="N7" s="74"/>
      <c r="O7" s="74"/>
      <c r="P7" s="30">
        <v>1.8</v>
      </c>
      <c r="Q7" s="54"/>
      <c r="R7" s="30"/>
      <c r="S7" s="30"/>
      <c r="T7" s="55">
        <v>3.85</v>
      </c>
      <c r="U7" s="31"/>
      <c r="V7" s="31"/>
      <c r="W7" s="38">
        <f>Table132[[#This Row],[Suma lab]]+Table132[[#This Row],[Q1]]+Table132[[#This Row],[Q2]]+MAX(Table132[[#This Row],[Partial]:[re2p]])+MAX(Table132[[#This Row],[Final]:[re2f]])</f>
        <v>7.33</v>
      </c>
      <c r="X7" s="70">
        <f>IF(Table132[[#This Row],[Total]]&gt;=9.5, 10, ROUND(Table132[[#This Row],[Total]],0))</f>
        <v>7</v>
      </c>
      <c r="Y7" s="28"/>
      <c r="Z7" s="28"/>
      <c r="AA7" s="65"/>
    </row>
    <row r="8" spans="1:27" ht="14.25" customHeight="1">
      <c r="A8" s="26">
        <v>6</v>
      </c>
      <c r="B8" s="26">
        <v>6</v>
      </c>
      <c r="C8" s="39">
        <v>30221</v>
      </c>
      <c r="D8" s="73" t="s">
        <v>73</v>
      </c>
      <c r="E8" s="26" t="s">
        <v>14</v>
      </c>
      <c r="F8" s="27" t="s">
        <v>68</v>
      </c>
      <c r="G8" s="28">
        <v>0.25</v>
      </c>
      <c r="H8" s="28">
        <v>0.2</v>
      </c>
      <c r="I8" s="28">
        <v>0.1</v>
      </c>
      <c r="J8" s="28">
        <v>0.4</v>
      </c>
      <c r="K8" s="28">
        <v>0.4</v>
      </c>
      <c r="L8" s="28" t="s">
        <v>68</v>
      </c>
      <c r="M8" s="29">
        <f t="shared" si="0"/>
        <v>1.35</v>
      </c>
      <c r="N8" s="74"/>
      <c r="O8" s="74"/>
      <c r="P8" s="30">
        <v>1</v>
      </c>
      <c r="Q8" s="54">
        <v>1.3</v>
      </c>
      <c r="R8" s="30"/>
      <c r="S8" s="30"/>
      <c r="T8" s="55">
        <v>3.5</v>
      </c>
      <c r="U8" s="31"/>
      <c r="V8" s="31"/>
      <c r="W8" s="38">
        <f>Table132[[#This Row],[Suma lab]]+Table132[[#This Row],[Q1]]+Table132[[#This Row],[Q2]]+MAX(Table132[[#This Row],[Partial]:[re2p]])+MAX(Table132[[#This Row],[Final]:[re2f]])</f>
        <v>6.15</v>
      </c>
      <c r="X8" s="70">
        <f>IF(Table132[[#This Row],[Total]]&gt;=9.5, 10, ROUND(Table132[[#This Row],[Total]],0))</f>
        <v>6</v>
      </c>
      <c r="Y8" s="28"/>
      <c r="Z8" s="28"/>
      <c r="AA8" s="65"/>
    </row>
    <row r="9" spans="1:27" ht="14.25" customHeight="1">
      <c r="A9" s="26">
        <v>7</v>
      </c>
      <c r="B9" s="26">
        <v>7</v>
      </c>
      <c r="C9" s="39">
        <v>30221</v>
      </c>
      <c r="D9" s="73" t="s">
        <v>74</v>
      </c>
      <c r="E9" s="26" t="s">
        <v>14</v>
      </c>
      <c r="F9" s="27" t="s">
        <v>68</v>
      </c>
      <c r="G9" s="28">
        <v>0.4</v>
      </c>
      <c r="H9" s="28" t="s">
        <v>68</v>
      </c>
      <c r="I9" s="28">
        <v>0.1</v>
      </c>
      <c r="J9" s="28">
        <v>0.1</v>
      </c>
      <c r="K9" s="28">
        <v>0.5</v>
      </c>
      <c r="L9" s="28" t="s">
        <v>68</v>
      </c>
      <c r="M9" s="29">
        <f t="shared" si="0"/>
        <v>1.1000000000000001</v>
      </c>
      <c r="N9" s="74"/>
      <c r="O9" s="74"/>
      <c r="P9" s="30">
        <v>1.4</v>
      </c>
      <c r="Q9" s="54"/>
      <c r="R9" s="30"/>
      <c r="S9" s="30"/>
      <c r="T9" s="55">
        <v>2.95</v>
      </c>
      <c r="U9" s="31"/>
      <c r="V9" s="31"/>
      <c r="W9" s="38">
        <f>Table132[[#This Row],[Suma lab]]+Table132[[#This Row],[Q1]]+Table132[[#This Row],[Q2]]+MAX(Table132[[#This Row],[Partial]:[re2p]])+MAX(Table132[[#This Row],[Final]:[re2f]])</f>
        <v>5.45</v>
      </c>
      <c r="X9" s="70">
        <f>IF(Table132[[#This Row],[Total]]&gt;=9.5, 10, ROUND(Table132[[#This Row],[Total]],0))</f>
        <v>5</v>
      </c>
      <c r="Y9" s="28"/>
      <c r="Z9" s="28"/>
      <c r="AA9" s="65"/>
    </row>
    <row r="10" spans="1:27" ht="14.25" customHeight="1">
      <c r="A10" s="26">
        <v>8</v>
      </c>
      <c r="B10" s="26">
        <v>8</v>
      </c>
      <c r="C10" s="39">
        <v>30221</v>
      </c>
      <c r="D10" s="73" t="s">
        <v>75</v>
      </c>
      <c r="E10" s="26" t="s">
        <v>14</v>
      </c>
      <c r="F10" s="27" t="s">
        <v>68</v>
      </c>
      <c r="G10" s="28">
        <v>0.4</v>
      </c>
      <c r="H10" s="28">
        <v>0.3</v>
      </c>
      <c r="I10" s="28">
        <v>0.3</v>
      </c>
      <c r="J10" s="28">
        <v>0.55000000000000004</v>
      </c>
      <c r="K10" s="28">
        <v>0.2</v>
      </c>
      <c r="L10" s="28" t="s">
        <v>68</v>
      </c>
      <c r="M10" s="29">
        <f t="shared" si="0"/>
        <v>1.75</v>
      </c>
      <c r="N10" s="74"/>
      <c r="O10" s="74"/>
      <c r="P10" s="30">
        <v>3</v>
      </c>
      <c r="Q10" s="54"/>
      <c r="R10" s="30"/>
      <c r="S10" s="30"/>
      <c r="T10" s="55">
        <v>4.5</v>
      </c>
      <c r="U10" s="31"/>
      <c r="V10" s="31"/>
      <c r="W10" s="38">
        <f>Table132[[#This Row],[Suma lab]]+Table132[[#This Row],[Q1]]+Table132[[#This Row],[Q2]]+MAX(Table132[[#This Row],[Partial]:[re2p]])+MAX(Table132[[#This Row],[Final]:[re2f]])</f>
        <v>9.25</v>
      </c>
      <c r="X10" s="70">
        <f>IF(Table132[[#This Row],[Total]]&gt;=9.5, 10, ROUND(Table132[[#This Row],[Total]],0))</f>
        <v>9</v>
      </c>
      <c r="Y10" s="28"/>
      <c r="Z10" s="28"/>
      <c r="AA10" s="65"/>
    </row>
    <row r="11" spans="1:27" ht="14.25" customHeight="1">
      <c r="A11" s="26">
        <v>9</v>
      </c>
      <c r="B11" s="26">
        <v>9</v>
      </c>
      <c r="C11" s="39">
        <v>30221</v>
      </c>
      <c r="D11" s="73" t="s">
        <v>76</v>
      </c>
      <c r="E11" s="26" t="s">
        <v>14</v>
      </c>
      <c r="F11" s="27" t="s">
        <v>68</v>
      </c>
      <c r="G11" s="28">
        <v>0.05</v>
      </c>
      <c r="H11" s="28" t="s">
        <v>68</v>
      </c>
      <c r="I11" s="28" t="s">
        <v>77</v>
      </c>
      <c r="J11" s="28" t="s">
        <v>68</v>
      </c>
      <c r="K11" s="28" t="s">
        <v>77</v>
      </c>
      <c r="L11" s="28" t="s">
        <v>68</v>
      </c>
      <c r="M11" s="29">
        <f t="shared" si="0"/>
        <v>0.05</v>
      </c>
      <c r="N11" s="74"/>
      <c r="O11" s="74"/>
      <c r="P11" s="30"/>
      <c r="Q11" s="54">
        <v>0.9</v>
      </c>
      <c r="R11" s="30"/>
      <c r="S11" s="30"/>
      <c r="T11" s="55">
        <v>0.6</v>
      </c>
      <c r="U11" s="31"/>
      <c r="V11" s="31"/>
      <c r="W11" s="38">
        <f>Table132[[#This Row],[Suma lab]]+Table132[[#This Row],[Q1]]+Table132[[#This Row],[Q2]]+MAX(Table132[[#This Row],[Partial]:[re2p]])+MAX(Table132[[#This Row],[Final]:[re2f]])</f>
        <v>1.55</v>
      </c>
      <c r="X11" s="70">
        <f>IF(Table132[[#This Row],[Total]]&gt;=9.5, 10, ROUND(Table132[[#This Row],[Total]],0))</f>
        <v>2</v>
      </c>
      <c r="Y11" s="28"/>
      <c r="Z11" s="28"/>
      <c r="AA11" s="65"/>
    </row>
    <row r="12" spans="1:27" ht="14.25" customHeight="1">
      <c r="A12" s="26">
        <v>10</v>
      </c>
      <c r="B12" s="26">
        <v>10</v>
      </c>
      <c r="C12" s="39">
        <v>30221</v>
      </c>
      <c r="D12" s="73" t="s">
        <v>78</v>
      </c>
      <c r="E12" s="26" t="s">
        <v>14</v>
      </c>
      <c r="F12" s="27" t="s">
        <v>68</v>
      </c>
      <c r="G12" s="28">
        <v>0.6</v>
      </c>
      <c r="H12" s="28">
        <v>0.4</v>
      </c>
      <c r="I12" s="28">
        <v>0.55000000000000004</v>
      </c>
      <c r="J12" s="28">
        <v>0.4</v>
      </c>
      <c r="K12" s="28">
        <v>0.2</v>
      </c>
      <c r="L12" s="28" t="s">
        <v>68</v>
      </c>
      <c r="M12" s="29">
        <f t="shared" si="0"/>
        <v>2.1500000000000004</v>
      </c>
      <c r="N12" s="74"/>
      <c r="O12" s="74"/>
      <c r="P12" s="30">
        <v>3</v>
      </c>
      <c r="Q12" s="54">
        <v>0</v>
      </c>
      <c r="R12" s="30"/>
      <c r="S12" s="30"/>
      <c r="T12" s="55">
        <v>5.3</v>
      </c>
      <c r="U12" s="31"/>
      <c r="V12" s="31"/>
      <c r="W12" s="38">
        <f>Table132[[#This Row],[Suma lab]]+Table132[[#This Row],[Q1]]+Table132[[#This Row],[Q2]]+MAX(Table132[[#This Row],[Partial]:[re2p]])+MAX(Table132[[#This Row],[Final]:[re2f]])</f>
        <v>10.45</v>
      </c>
      <c r="X12" s="70">
        <f>IF(Table132[[#This Row],[Total]]&gt;=9.5, 10, ROUND(Table132[[#This Row],[Total]],0))</f>
        <v>10</v>
      </c>
      <c r="Y12" s="28"/>
      <c r="Z12" s="28"/>
      <c r="AA12" s="65"/>
    </row>
    <row r="13" spans="1:27" ht="14.25" customHeight="1">
      <c r="A13" s="26">
        <v>11</v>
      </c>
      <c r="B13" s="26">
        <v>11</v>
      </c>
      <c r="C13" s="39">
        <v>30221</v>
      </c>
      <c r="D13" s="73" t="s">
        <v>79</v>
      </c>
      <c r="E13" s="26" t="s">
        <v>14</v>
      </c>
      <c r="F13" s="27" t="s">
        <v>68</v>
      </c>
      <c r="G13" s="28">
        <v>0.2</v>
      </c>
      <c r="H13" s="28">
        <v>0.35</v>
      </c>
      <c r="I13" s="28" t="s">
        <v>68</v>
      </c>
      <c r="J13" s="28">
        <v>0.4</v>
      </c>
      <c r="K13" s="28">
        <v>0.2</v>
      </c>
      <c r="L13" s="28" t="s">
        <v>68</v>
      </c>
      <c r="M13" s="29">
        <f t="shared" si="0"/>
        <v>1.1500000000000001</v>
      </c>
      <c r="N13" s="74"/>
      <c r="O13" s="74"/>
      <c r="P13" s="30">
        <v>1.7</v>
      </c>
      <c r="Q13" s="54">
        <v>0</v>
      </c>
      <c r="R13" s="30"/>
      <c r="S13" s="30"/>
      <c r="T13" s="55">
        <v>4</v>
      </c>
      <c r="U13" s="31"/>
      <c r="V13" s="31"/>
      <c r="W13" s="38">
        <f>Table132[[#This Row],[Suma lab]]+Table132[[#This Row],[Q1]]+Table132[[#This Row],[Q2]]+MAX(Table132[[#This Row],[Partial]:[re2p]])+MAX(Table132[[#This Row],[Final]:[re2f]])</f>
        <v>6.85</v>
      </c>
      <c r="X13" s="70">
        <f>IF(Table132[[#This Row],[Total]]&gt;=9.5, 10, ROUND(Table132[[#This Row],[Total]],0))</f>
        <v>7</v>
      </c>
      <c r="Y13" s="28"/>
      <c r="Z13" s="28"/>
      <c r="AA13" s="65"/>
    </row>
    <row r="14" spans="1:27" ht="14.25" customHeight="1">
      <c r="A14" s="26">
        <v>12</v>
      </c>
      <c r="B14" s="26">
        <v>12</v>
      </c>
      <c r="C14" s="39">
        <v>30221</v>
      </c>
      <c r="D14" s="73" t="s">
        <v>80</v>
      </c>
      <c r="E14" s="26" t="s">
        <v>14</v>
      </c>
      <c r="F14" s="27" t="s">
        <v>68</v>
      </c>
      <c r="G14" s="28">
        <v>0.35</v>
      </c>
      <c r="H14" s="28">
        <v>0.5</v>
      </c>
      <c r="I14" s="28">
        <v>0.2</v>
      </c>
      <c r="J14" s="28">
        <v>0.3</v>
      </c>
      <c r="K14" s="28">
        <v>0.2</v>
      </c>
      <c r="L14" s="28" t="s">
        <v>68</v>
      </c>
      <c r="M14" s="29">
        <f t="shared" si="0"/>
        <v>1.55</v>
      </c>
      <c r="N14" s="74">
        <v>0.1</v>
      </c>
      <c r="O14" s="74"/>
      <c r="P14" s="30">
        <v>1.2</v>
      </c>
      <c r="Q14" s="54"/>
      <c r="R14" s="30"/>
      <c r="S14" s="30"/>
      <c r="T14" s="55">
        <v>2.4</v>
      </c>
      <c r="U14" s="31"/>
      <c r="V14" s="31"/>
      <c r="W14" s="38">
        <f>Table132[[#This Row],[Suma lab]]+Table132[[#This Row],[Q1]]+Table132[[#This Row],[Q2]]+MAX(Table132[[#This Row],[Partial]:[re2p]])+MAX(Table132[[#This Row],[Final]:[re2f]])</f>
        <v>5.25</v>
      </c>
      <c r="X14" s="70">
        <f>IF(Table132[[#This Row],[Total]]&gt;=9.5, 10, ROUND(Table132[[#This Row],[Total]],0))</f>
        <v>5</v>
      </c>
      <c r="Y14" s="28"/>
      <c r="Z14" s="28"/>
      <c r="AA14" s="65"/>
    </row>
    <row r="15" spans="1:27" ht="14.25" customHeight="1">
      <c r="A15" s="26">
        <v>13</v>
      </c>
      <c r="B15" s="26">
        <v>13</v>
      </c>
      <c r="C15" s="39">
        <v>30221</v>
      </c>
      <c r="D15" s="73" t="s">
        <v>81</v>
      </c>
      <c r="E15" s="26" t="s">
        <v>15</v>
      </c>
      <c r="F15" s="27" t="s">
        <v>68</v>
      </c>
      <c r="G15" s="28">
        <v>0.3</v>
      </c>
      <c r="H15" s="28">
        <v>0.35</v>
      </c>
      <c r="I15" s="28">
        <v>0.15</v>
      </c>
      <c r="J15" s="28">
        <v>0.2</v>
      </c>
      <c r="K15" s="28">
        <v>0.4</v>
      </c>
      <c r="L15" s="28" t="s">
        <v>68</v>
      </c>
      <c r="M15" s="29">
        <f t="shared" si="0"/>
        <v>1.4</v>
      </c>
      <c r="N15" s="74">
        <v>0.3</v>
      </c>
      <c r="O15" s="74"/>
      <c r="P15" s="30">
        <v>1.2</v>
      </c>
      <c r="Q15" s="54">
        <v>0</v>
      </c>
      <c r="R15" s="30"/>
      <c r="S15" s="30"/>
      <c r="T15" s="55">
        <v>2.1</v>
      </c>
      <c r="U15" s="31"/>
      <c r="V15" s="31"/>
      <c r="W15" s="38">
        <f>Table132[[#This Row],[Suma lab]]+Table132[[#This Row],[Q1]]+Table132[[#This Row],[Q2]]+MAX(Table132[[#This Row],[Partial]:[re2p]])+MAX(Table132[[#This Row],[Final]:[re2f]])</f>
        <v>5</v>
      </c>
      <c r="X15" s="70">
        <f>IF(Table132[[#This Row],[Total]]&gt;=9.5, 10, ROUND(Table132[[#This Row],[Total]],0))</f>
        <v>5</v>
      </c>
      <c r="Y15" s="28"/>
      <c r="Z15" s="28"/>
      <c r="AA15" s="65"/>
    </row>
    <row r="16" spans="1:27" ht="14.25" customHeight="1">
      <c r="A16" s="26">
        <v>14</v>
      </c>
      <c r="B16" s="26">
        <v>14</v>
      </c>
      <c r="C16" s="39">
        <v>30221</v>
      </c>
      <c r="D16" s="73" t="s">
        <v>82</v>
      </c>
      <c r="E16" s="26" t="s">
        <v>14</v>
      </c>
      <c r="F16" s="27" t="s">
        <v>68</v>
      </c>
      <c r="G16" s="28">
        <v>0.35</v>
      </c>
      <c r="H16" s="28">
        <v>0.3</v>
      </c>
      <c r="I16" s="28">
        <v>0.25</v>
      </c>
      <c r="J16" s="28">
        <v>0.3</v>
      </c>
      <c r="K16" s="28">
        <v>0.3</v>
      </c>
      <c r="L16" s="28" t="s">
        <v>68</v>
      </c>
      <c r="M16" s="29">
        <f t="shared" si="0"/>
        <v>1.5</v>
      </c>
      <c r="N16" s="74"/>
      <c r="O16" s="74"/>
      <c r="P16" s="30">
        <v>1.4</v>
      </c>
      <c r="Q16" s="54">
        <v>0.8</v>
      </c>
      <c r="R16" s="30"/>
      <c r="S16" s="30"/>
      <c r="T16" s="55">
        <v>4.0999999999999996</v>
      </c>
      <c r="U16" s="31"/>
      <c r="V16" s="31"/>
      <c r="W16" s="38">
        <f>Table132[[#This Row],[Suma lab]]+Table132[[#This Row],[Q1]]+Table132[[#This Row],[Q2]]+MAX(Table132[[#This Row],[Partial]:[re2p]])+MAX(Table132[[#This Row],[Final]:[re2f]])</f>
        <v>7</v>
      </c>
      <c r="X16" s="70">
        <f>IF(Table132[[#This Row],[Total]]&gt;=9.5, 10, ROUND(Table132[[#This Row],[Total]],0))</f>
        <v>7</v>
      </c>
      <c r="Y16" s="28"/>
      <c r="Z16" s="28"/>
      <c r="AA16" s="65"/>
    </row>
    <row r="17" spans="1:27" ht="14.25" customHeight="1">
      <c r="A17" s="26">
        <v>15</v>
      </c>
      <c r="B17" s="26">
        <v>15</v>
      </c>
      <c r="C17" s="39">
        <v>30221</v>
      </c>
      <c r="D17" s="73" t="s">
        <v>83</v>
      </c>
      <c r="E17" s="26" t="s">
        <v>14</v>
      </c>
      <c r="F17" s="27" t="s">
        <v>68</v>
      </c>
      <c r="G17" s="28" t="s">
        <v>68</v>
      </c>
      <c r="H17" s="28">
        <v>0.3</v>
      </c>
      <c r="I17" s="28">
        <v>0.15</v>
      </c>
      <c r="J17" s="28">
        <v>0.1</v>
      </c>
      <c r="K17" s="28">
        <v>0.1</v>
      </c>
      <c r="L17" s="28" t="s">
        <v>68</v>
      </c>
      <c r="M17" s="29">
        <f t="shared" si="0"/>
        <v>0.64999999999999991</v>
      </c>
      <c r="N17" s="74"/>
      <c r="O17" s="74"/>
      <c r="P17" s="30">
        <v>0.35</v>
      </c>
      <c r="Q17" s="54">
        <v>1.2</v>
      </c>
      <c r="R17" s="30"/>
      <c r="S17" s="30"/>
      <c r="T17" s="55">
        <v>2.2000000000000002</v>
      </c>
      <c r="U17" s="31"/>
      <c r="V17" s="31"/>
      <c r="W17" s="38">
        <f>Table132[[#This Row],[Suma lab]]+Table132[[#This Row],[Q1]]+Table132[[#This Row],[Q2]]+MAX(Table132[[#This Row],[Partial]:[re2p]])+MAX(Table132[[#This Row],[Final]:[re2f]])</f>
        <v>4.05</v>
      </c>
      <c r="X17" s="70">
        <f>IF(Table132[[#This Row],[Total]]&gt;=9.5, 10, ROUND(Table132[[#This Row],[Total]],0))</f>
        <v>4</v>
      </c>
      <c r="Y17" s="28"/>
      <c r="Z17" s="28"/>
      <c r="AA17" s="65"/>
    </row>
    <row r="18" spans="1:27" ht="14.25" customHeight="1">
      <c r="A18" s="26">
        <v>16</v>
      </c>
      <c r="B18" s="26">
        <v>16</v>
      </c>
      <c r="C18" s="39">
        <v>30221</v>
      </c>
      <c r="D18" s="73" t="s">
        <v>84</v>
      </c>
      <c r="E18" s="26" t="s">
        <v>14</v>
      </c>
      <c r="F18" s="27" t="s">
        <v>68</v>
      </c>
      <c r="G18" s="28">
        <v>0.3</v>
      </c>
      <c r="H18" s="28" t="s">
        <v>68</v>
      </c>
      <c r="I18" s="28">
        <v>0.15</v>
      </c>
      <c r="J18" s="28">
        <v>0.2</v>
      </c>
      <c r="K18" s="28" t="s">
        <v>68</v>
      </c>
      <c r="L18" s="28" t="s">
        <v>68</v>
      </c>
      <c r="M18" s="29">
        <f t="shared" si="0"/>
        <v>0.64999999999999991</v>
      </c>
      <c r="N18" s="74"/>
      <c r="O18" s="74"/>
      <c r="P18" s="30">
        <v>1.25</v>
      </c>
      <c r="Q18" s="54">
        <v>0</v>
      </c>
      <c r="R18" s="30"/>
      <c r="S18" s="30"/>
      <c r="T18" s="55">
        <v>3.6</v>
      </c>
      <c r="U18" s="31"/>
      <c r="V18" s="31"/>
      <c r="W18" s="38">
        <f>Table132[[#This Row],[Suma lab]]+Table132[[#This Row],[Q1]]+Table132[[#This Row],[Q2]]+MAX(Table132[[#This Row],[Partial]:[re2p]])+MAX(Table132[[#This Row],[Final]:[re2f]])</f>
        <v>5.5</v>
      </c>
      <c r="X18" s="70">
        <f>IF(Table132[[#This Row],[Total]]&gt;=9.5, 10, ROUND(Table132[[#This Row],[Total]],0))</f>
        <v>6</v>
      </c>
      <c r="Y18" s="28"/>
      <c r="Z18" s="28"/>
      <c r="AA18" s="65"/>
    </row>
    <row r="19" spans="1:27" ht="14.25" customHeight="1">
      <c r="A19" s="26">
        <v>17</v>
      </c>
      <c r="B19" s="26">
        <v>17</v>
      </c>
      <c r="C19" s="39">
        <v>30221</v>
      </c>
      <c r="D19" s="73" t="s">
        <v>85</v>
      </c>
      <c r="E19" s="26" t="s">
        <v>15</v>
      </c>
      <c r="F19" s="47" t="s">
        <v>68</v>
      </c>
      <c r="G19" s="48">
        <v>0.2</v>
      </c>
      <c r="H19" s="48">
        <v>0.2</v>
      </c>
      <c r="I19" s="48">
        <v>0</v>
      </c>
      <c r="J19" s="28" t="s">
        <v>77</v>
      </c>
      <c r="K19" s="48">
        <v>0.2</v>
      </c>
      <c r="L19" s="80" t="s">
        <v>68</v>
      </c>
      <c r="M19" s="29">
        <f t="shared" si="0"/>
        <v>0.60000000000000009</v>
      </c>
      <c r="N19" s="74"/>
      <c r="O19" s="74"/>
      <c r="P19" s="30">
        <v>0.3</v>
      </c>
      <c r="Q19" s="54">
        <v>1.65</v>
      </c>
      <c r="R19" s="30"/>
      <c r="S19" s="30"/>
      <c r="T19" s="55">
        <v>2.9</v>
      </c>
      <c r="U19" s="31"/>
      <c r="V19" s="31"/>
      <c r="W19" s="38">
        <f>Table132[[#This Row],[Suma lab]]+Table132[[#This Row],[Q1]]+Table132[[#This Row],[Q2]]+MAX(Table132[[#This Row],[Partial]:[re2p]])+MAX(Table132[[#This Row],[Final]:[re2f]])</f>
        <v>5.15</v>
      </c>
      <c r="X19" s="70">
        <f>IF(Table132[[#This Row],[Total]]&gt;=9.5, 10, ROUND(Table132[[#This Row],[Total]],0))</f>
        <v>5</v>
      </c>
      <c r="Y19" s="28"/>
      <c r="Z19" s="28"/>
      <c r="AA19" s="65"/>
    </row>
    <row r="20" spans="1:27" ht="14.25" customHeight="1">
      <c r="A20" s="26">
        <v>18</v>
      </c>
      <c r="B20" s="26">
        <v>18</v>
      </c>
      <c r="C20" s="39">
        <v>30221</v>
      </c>
      <c r="D20" s="73" t="s">
        <v>86</v>
      </c>
      <c r="E20" s="26" t="s">
        <v>15</v>
      </c>
      <c r="F20" s="27" t="s">
        <v>68</v>
      </c>
      <c r="G20" s="28">
        <v>0.2</v>
      </c>
      <c r="H20" s="28">
        <v>0.2</v>
      </c>
      <c r="I20" s="28">
        <v>0</v>
      </c>
      <c r="J20" s="28" t="s">
        <v>77</v>
      </c>
      <c r="K20" s="28">
        <v>0.2</v>
      </c>
      <c r="L20" s="80" t="s">
        <v>68</v>
      </c>
      <c r="M20" s="29">
        <f t="shared" si="0"/>
        <v>0.60000000000000009</v>
      </c>
      <c r="N20" s="74"/>
      <c r="O20" s="74"/>
      <c r="P20" s="30">
        <v>0.15</v>
      </c>
      <c r="Q20" s="54">
        <v>0</v>
      </c>
      <c r="R20" s="30"/>
      <c r="S20" s="30"/>
      <c r="T20" s="55">
        <v>4.9000000000000004</v>
      </c>
      <c r="U20" s="31"/>
      <c r="V20" s="31"/>
      <c r="W20" s="38">
        <f>Table132[[#This Row],[Suma lab]]+Table132[[#This Row],[Q1]]+Table132[[#This Row],[Q2]]+MAX(Table132[[#This Row],[Partial]:[re2p]])+MAX(Table132[[#This Row],[Final]:[re2f]])</f>
        <v>5.65</v>
      </c>
      <c r="X20" s="70">
        <f>IF(Table132[[#This Row],[Total]]&gt;=9.5, 10, ROUND(Table132[[#This Row],[Total]],0))</f>
        <v>6</v>
      </c>
      <c r="Y20" s="28"/>
      <c r="Z20" s="28"/>
      <c r="AA20" s="65"/>
    </row>
    <row r="21" spans="1:27" ht="14.25" customHeight="1">
      <c r="A21" s="26">
        <v>19</v>
      </c>
      <c r="B21" s="26">
        <v>19</v>
      </c>
      <c r="C21" s="39">
        <v>30221</v>
      </c>
      <c r="D21" s="73" t="s">
        <v>87</v>
      </c>
      <c r="E21" s="26" t="s">
        <v>15</v>
      </c>
      <c r="F21" s="27" t="s">
        <v>68</v>
      </c>
      <c r="G21" s="28">
        <v>0.6</v>
      </c>
      <c r="H21" s="28">
        <v>0.6</v>
      </c>
      <c r="I21" s="28">
        <v>0.4</v>
      </c>
      <c r="J21" s="28">
        <v>0.5</v>
      </c>
      <c r="K21" s="28">
        <v>0.45</v>
      </c>
      <c r="L21" s="28" t="s">
        <v>68</v>
      </c>
      <c r="M21" s="29">
        <f t="shared" si="0"/>
        <v>2.5500000000000003</v>
      </c>
      <c r="N21" s="74"/>
      <c r="O21" s="74"/>
      <c r="P21" s="30">
        <v>2.7</v>
      </c>
      <c r="Q21" s="54"/>
      <c r="R21" s="30"/>
      <c r="S21" s="30"/>
      <c r="T21" s="55">
        <v>4.75</v>
      </c>
      <c r="U21" s="31"/>
      <c r="V21" s="31"/>
      <c r="W21" s="38">
        <f>Table132[[#This Row],[Suma lab]]+Table132[[#This Row],[Q1]]+Table132[[#This Row],[Q2]]+MAX(Table132[[#This Row],[Partial]:[re2p]])+MAX(Table132[[#This Row],[Final]:[re2f]])</f>
        <v>10</v>
      </c>
      <c r="X21" s="70">
        <f>IF(Table132[[#This Row],[Total]]&gt;=9.5, 10, ROUND(Table132[[#This Row],[Total]],0))</f>
        <v>10</v>
      </c>
      <c r="Y21" s="28"/>
      <c r="Z21" s="28"/>
      <c r="AA21" s="65"/>
    </row>
    <row r="22" spans="1:27" ht="14.25" customHeight="1">
      <c r="A22" s="26">
        <v>20</v>
      </c>
      <c r="B22" s="26">
        <v>20</v>
      </c>
      <c r="C22" s="39">
        <v>30221</v>
      </c>
      <c r="D22" s="73" t="s">
        <v>88</v>
      </c>
      <c r="E22" s="26" t="s">
        <v>15</v>
      </c>
      <c r="F22" s="27" t="s">
        <v>68</v>
      </c>
      <c r="G22" s="28">
        <v>0.6</v>
      </c>
      <c r="H22" s="28">
        <v>0.6</v>
      </c>
      <c r="I22" s="28">
        <v>0.55000000000000004</v>
      </c>
      <c r="J22" s="28">
        <v>0.3</v>
      </c>
      <c r="K22" s="28">
        <v>0.5</v>
      </c>
      <c r="L22" s="28" t="s">
        <v>68</v>
      </c>
      <c r="M22" s="29">
        <f t="shared" si="0"/>
        <v>2.5499999999999998</v>
      </c>
      <c r="N22" s="74"/>
      <c r="O22" s="74"/>
      <c r="P22" s="30">
        <v>2.4</v>
      </c>
      <c r="Q22" s="54">
        <v>3.3</v>
      </c>
      <c r="R22" s="30"/>
      <c r="S22" s="30"/>
      <c r="T22" s="55">
        <v>5.0999999999999996</v>
      </c>
      <c r="U22" s="31"/>
      <c r="V22" s="31"/>
      <c r="W22" s="38">
        <f>Table132[[#This Row],[Suma lab]]+Table132[[#This Row],[Q1]]+Table132[[#This Row],[Q2]]+MAX(Table132[[#This Row],[Partial]:[re2p]])+MAX(Table132[[#This Row],[Final]:[re2f]])</f>
        <v>10.95</v>
      </c>
      <c r="X22" s="70">
        <f>IF(Table132[[#This Row],[Total]]&gt;=9.5, 10, ROUND(Table132[[#This Row],[Total]],0))</f>
        <v>10</v>
      </c>
      <c r="Y22" s="28"/>
      <c r="Z22" s="28"/>
      <c r="AA22" s="65"/>
    </row>
    <row r="23" spans="1:27" ht="14.25" customHeight="1">
      <c r="A23" s="26">
        <v>21</v>
      </c>
      <c r="B23" s="26">
        <v>21</v>
      </c>
      <c r="C23" s="39">
        <v>30221</v>
      </c>
      <c r="D23" s="73" t="s">
        <v>89</v>
      </c>
      <c r="E23" s="26" t="s">
        <v>15</v>
      </c>
      <c r="F23" s="27" t="s">
        <v>68</v>
      </c>
      <c r="G23" s="28">
        <v>0.5</v>
      </c>
      <c r="H23" s="28">
        <v>0.6</v>
      </c>
      <c r="I23" s="28">
        <v>0.4</v>
      </c>
      <c r="J23" s="28">
        <v>0.55000000000000004</v>
      </c>
      <c r="K23" s="28">
        <v>0.6</v>
      </c>
      <c r="L23" s="28" t="s">
        <v>68</v>
      </c>
      <c r="M23" s="29">
        <f t="shared" si="0"/>
        <v>2.65</v>
      </c>
      <c r="N23" s="74">
        <v>0.3</v>
      </c>
      <c r="O23" s="74">
        <v>0.33</v>
      </c>
      <c r="P23" s="30">
        <v>1.8</v>
      </c>
      <c r="Q23" s="54">
        <v>2.2999999999999998</v>
      </c>
      <c r="R23" s="30"/>
      <c r="S23" s="30"/>
      <c r="T23" s="55">
        <v>4.55</v>
      </c>
      <c r="U23" s="31"/>
      <c r="V23" s="31"/>
      <c r="W23" s="38">
        <f>Table132[[#This Row],[Suma lab]]+Table132[[#This Row],[Q1]]+Table132[[#This Row],[Q2]]+MAX(Table132[[#This Row],[Partial]:[re2p]])+MAX(Table132[[#This Row],[Final]:[re2f]])</f>
        <v>10.129999999999999</v>
      </c>
      <c r="X23" s="70">
        <f>IF(Table132[[#This Row],[Total]]&gt;=9.5, 10, ROUND(Table132[[#This Row],[Total]],0))</f>
        <v>10</v>
      </c>
      <c r="Y23" s="28"/>
      <c r="Z23" s="28"/>
      <c r="AA23" s="65"/>
    </row>
    <row r="24" spans="1:27" ht="14.25" customHeight="1">
      <c r="A24" s="26">
        <v>22</v>
      </c>
      <c r="B24" s="26">
        <v>22</v>
      </c>
      <c r="C24" s="39">
        <v>30221</v>
      </c>
      <c r="D24" s="73" t="s">
        <v>90</v>
      </c>
      <c r="E24" s="26" t="s">
        <v>15</v>
      </c>
      <c r="F24" s="27" t="s">
        <v>68</v>
      </c>
      <c r="G24" s="28">
        <v>0.1</v>
      </c>
      <c r="H24" s="28">
        <v>0</v>
      </c>
      <c r="I24" s="28" t="s">
        <v>77</v>
      </c>
      <c r="J24" s="28" t="s">
        <v>68</v>
      </c>
      <c r="K24" s="28" t="s">
        <v>68</v>
      </c>
      <c r="L24" s="28" t="s">
        <v>68</v>
      </c>
      <c r="M24" s="29">
        <f t="shared" si="0"/>
        <v>0.1</v>
      </c>
      <c r="N24" s="74"/>
      <c r="O24" s="74"/>
      <c r="P24" s="30"/>
      <c r="Q24" s="54">
        <v>1.6</v>
      </c>
      <c r="R24" s="30"/>
      <c r="S24" s="30"/>
      <c r="T24" s="55">
        <v>1.3</v>
      </c>
      <c r="U24" s="31"/>
      <c r="V24" s="31"/>
      <c r="W24" s="38">
        <f>Table132[[#This Row],[Suma lab]]+Table132[[#This Row],[Q1]]+Table132[[#This Row],[Q2]]+MAX(Table132[[#This Row],[Partial]:[re2p]])+MAX(Table132[[#This Row],[Final]:[re2f]])</f>
        <v>3</v>
      </c>
      <c r="X24" s="70">
        <f>IF(Table132[[#This Row],[Total]]&gt;=9.5, 10, ROUND(Table132[[#This Row],[Total]],0))</f>
        <v>3</v>
      </c>
      <c r="Y24" s="28"/>
      <c r="Z24" s="28"/>
      <c r="AA24" s="65"/>
    </row>
    <row r="25" spans="1:27" ht="14.25" customHeight="1">
      <c r="A25" s="26">
        <v>23</v>
      </c>
      <c r="B25" s="26">
        <v>23</v>
      </c>
      <c r="C25" s="39">
        <v>30221</v>
      </c>
      <c r="D25" s="73" t="s">
        <v>91</v>
      </c>
      <c r="E25" s="26" t="s">
        <v>15</v>
      </c>
      <c r="F25" s="27" t="s">
        <v>68</v>
      </c>
      <c r="G25" s="28">
        <v>0.4</v>
      </c>
      <c r="H25" s="28">
        <v>0.4</v>
      </c>
      <c r="I25" s="28">
        <v>0.3</v>
      </c>
      <c r="J25" s="28">
        <v>0.45</v>
      </c>
      <c r="K25" s="28">
        <v>0.2</v>
      </c>
      <c r="L25" s="28" t="s">
        <v>68</v>
      </c>
      <c r="M25" s="29">
        <f t="shared" si="0"/>
        <v>1.75</v>
      </c>
      <c r="N25" s="74"/>
      <c r="O25" s="74"/>
      <c r="P25" s="30">
        <v>1</v>
      </c>
      <c r="Q25" s="54">
        <v>1.2</v>
      </c>
      <c r="R25" s="30"/>
      <c r="S25" s="30"/>
      <c r="T25" s="55">
        <v>0.65</v>
      </c>
      <c r="U25" s="31"/>
      <c r="V25" s="31"/>
      <c r="W25" s="38">
        <f>Table132[[#This Row],[Suma lab]]+Table132[[#This Row],[Q1]]+Table132[[#This Row],[Q2]]+MAX(Table132[[#This Row],[Partial]:[re2p]])+MAX(Table132[[#This Row],[Final]:[re2f]])</f>
        <v>3.6</v>
      </c>
      <c r="X25" s="70">
        <f>IF(Table132[[#This Row],[Total]]&gt;=9.5, 10, ROUND(Table132[[#This Row],[Total]],0))</f>
        <v>4</v>
      </c>
      <c r="Y25" s="28"/>
      <c r="Z25" s="28"/>
      <c r="AA25" s="65"/>
    </row>
    <row r="26" spans="1:27" ht="14.25" customHeight="1">
      <c r="A26" s="26">
        <v>24</v>
      </c>
      <c r="B26" s="26">
        <v>24</v>
      </c>
      <c r="C26" s="39">
        <v>30221</v>
      </c>
      <c r="D26" s="73" t="s">
        <v>92</v>
      </c>
      <c r="E26" s="26" t="s">
        <v>15</v>
      </c>
      <c r="F26" s="27" t="s">
        <v>68</v>
      </c>
      <c r="G26" s="28">
        <v>0.6</v>
      </c>
      <c r="H26" s="28">
        <v>0.6</v>
      </c>
      <c r="I26" s="28" t="s">
        <v>68</v>
      </c>
      <c r="J26" s="28" t="s">
        <v>77</v>
      </c>
      <c r="K26" s="28">
        <v>0.5</v>
      </c>
      <c r="L26" s="28" t="s">
        <v>68</v>
      </c>
      <c r="M26" s="29">
        <f t="shared" si="0"/>
        <v>1.7</v>
      </c>
      <c r="N26" s="74">
        <v>0.1</v>
      </c>
      <c r="O26" s="74"/>
      <c r="P26" s="30">
        <v>1.7</v>
      </c>
      <c r="Q26" s="54">
        <v>0</v>
      </c>
      <c r="R26" s="30"/>
      <c r="S26" s="30"/>
      <c r="T26" s="55">
        <v>4.55</v>
      </c>
      <c r="U26" s="31"/>
      <c r="V26" s="31"/>
      <c r="W26" s="38">
        <f>Table132[[#This Row],[Suma lab]]+Table132[[#This Row],[Q1]]+Table132[[#This Row],[Q2]]+MAX(Table132[[#This Row],[Partial]:[re2p]])+MAX(Table132[[#This Row],[Final]:[re2f]])</f>
        <v>8.0500000000000007</v>
      </c>
      <c r="X26" s="70">
        <f>IF(Table132[[#This Row],[Total]]&gt;=9.5, 10, ROUND(Table132[[#This Row],[Total]],0))</f>
        <v>8</v>
      </c>
      <c r="Y26" s="28"/>
      <c r="Z26" s="28"/>
      <c r="AA26" s="65"/>
    </row>
    <row r="27" spans="1:27" ht="14.25" customHeight="1">
      <c r="A27" s="26">
        <v>25</v>
      </c>
      <c r="B27" s="26">
        <v>25</v>
      </c>
      <c r="C27" s="39">
        <v>30221</v>
      </c>
      <c r="D27" s="73" t="s">
        <v>93</v>
      </c>
      <c r="E27" s="26" t="s">
        <v>15</v>
      </c>
      <c r="F27" s="27" t="s">
        <v>68</v>
      </c>
      <c r="G27" s="28">
        <v>0.6</v>
      </c>
      <c r="H27" s="28">
        <v>0.6</v>
      </c>
      <c r="I27" s="28">
        <v>0.4</v>
      </c>
      <c r="J27" s="28">
        <v>0.4</v>
      </c>
      <c r="K27" s="28">
        <v>0.6</v>
      </c>
      <c r="L27" s="28" t="s">
        <v>68</v>
      </c>
      <c r="M27" s="29">
        <f t="shared" si="0"/>
        <v>2.6</v>
      </c>
      <c r="N27" s="74">
        <v>0.1</v>
      </c>
      <c r="O27" s="74"/>
      <c r="P27" s="30">
        <v>2.15</v>
      </c>
      <c r="Q27" s="54">
        <v>3.1</v>
      </c>
      <c r="R27" s="30"/>
      <c r="S27" s="30"/>
      <c r="T27" s="55">
        <v>4.9000000000000004</v>
      </c>
      <c r="U27" s="31"/>
      <c r="V27" s="31"/>
      <c r="W27" s="38">
        <f>Table132[[#This Row],[Suma lab]]+Table132[[#This Row],[Q1]]+Table132[[#This Row],[Q2]]+MAX(Table132[[#This Row],[Partial]:[re2p]])+MAX(Table132[[#This Row],[Final]:[re2f]])</f>
        <v>10.700000000000001</v>
      </c>
      <c r="X27" s="70">
        <f>IF(Table132[[#This Row],[Total]]&gt;=9.5, 10, ROUND(Table132[[#This Row],[Total]],0))</f>
        <v>10</v>
      </c>
      <c r="Y27" s="28"/>
      <c r="Z27" s="28"/>
      <c r="AA27" s="65"/>
    </row>
    <row r="28" spans="1:27" ht="14.25" customHeight="1">
      <c r="A28" s="26">
        <v>26</v>
      </c>
      <c r="B28" s="26">
        <v>26</v>
      </c>
      <c r="C28" s="39">
        <v>30221</v>
      </c>
      <c r="D28" s="73" t="s">
        <v>94</v>
      </c>
      <c r="E28" s="26" t="s">
        <v>15</v>
      </c>
      <c r="F28" s="27" t="s">
        <v>68</v>
      </c>
      <c r="G28" s="28">
        <v>0.5</v>
      </c>
      <c r="H28" s="28">
        <v>0.6</v>
      </c>
      <c r="I28" s="28">
        <v>0.45</v>
      </c>
      <c r="J28" s="28">
        <v>0.4</v>
      </c>
      <c r="K28" s="28">
        <v>0.55000000000000004</v>
      </c>
      <c r="L28" s="28" t="s">
        <v>68</v>
      </c>
      <c r="M28" s="29">
        <f t="shared" si="0"/>
        <v>2.5</v>
      </c>
      <c r="N28" s="74"/>
      <c r="O28" s="74"/>
      <c r="P28" s="30">
        <v>2.4</v>
      </c>
      <c r="Q28" s="54">
        <v>0</v>
      </c>
      <c r="R28" s="30"/>
      <c r="S28" s="30"/>
      <c r="T28" s="55">
        <v>4.8</v>
      </c>
      <c r="U28" s="31"/>
      <c r="V28" s="31"/>
      <c r="W28" s="38">
        <f>Table132[[#This Row],[Suma lab]]+Table132[[#This Row],[Q1]]+Table132[[#This Row],[Q2]]+MAX(Table132[[#This Row],[Partial]:[re2p]])+MAX(Table132[[#This Row],[Final]:[re2f]])</f>
        <v>9.6999999999999993</v>
      </c>
      <c r="X28" s="70">
        <f>IF(Table132[[#This Row],[Total]]&gt;=9.5, 10, ROUND(Table132[[#This Row],[Total]],0))</f>
        <v>10</v>
      </c>
      <c r="Y28" s="28"/>
      <c r="Z28" s="28"/>
      <c r="AA28" s="65"/>
    </row>
    <row r="29" spans="1:27" ht="14.25" customHeight="1">
      <c r="A29" s="32">
        <v>27</v>
      </c>
      <c r="B29" s="26">
        <v>27</v>
      </c>
      <c r="C29" s="39">
        <v>30221</v>
      </c>
      <c r="D29" s="73" t="s">
        <v>95</v>
      </c>
      <c r="E29" s="26" t="s">
        <v>15</v>
      </c>
      <c r="F29" s="33" t="s">
        <v>68</v>
      </c>
      <c r="G29" s="34">
        <v>0.5</v>
      </c>
      <c r="H29" s="34">
        <v>0.35</v>
      </c>
      <c r="I29" s="34">
        <v>0.15</v>
      </c>
      <c r="J29" s="34">
        <v>0.3</v>
      </c>
      <c r="K29" s="34">
        <v>0.15</v>
      </c>
      <c r="L29" s="34" t="s">
        <v>68</v>
      </c>
      <c r="M29" s="35">
        <f t="shared" si="0"/>
        <v>1.45</v>
      </c>
      <c r="N29" s="75"/>
      <c r="O29" s="75"/>
      <c r="P29" s="36">
        <v>0.4</v>
      </c>
      <c r="Q29" s="58">
        <v>0.3</v>
      </c>
      <c r="R29" s="36"/>
      <c r="S29" s="36"/>
      <c r="T29" s="59">
        <v>2.65</v>
      </c>
      <c r="U29" s="37"/>
      <c r="V29" s="37"/>
      <c r="W29" s="38">
        <f>Table132[[#This Row],[Suma lab]]+Table132[[#This Row],[Q1]]+Table132[[#This Row],[Q2]]+MAX(Table132[[#This Row],[Partial]:[re2p]])+MAX(Table132[[#This Row],[Final]:[re2f]])</f>
        <v>4.5</v>
      </c>
      <c r="X29" s="70">
        <f>IF(Table132[[#This Row],[Total]]&gt;=9.5, 10, ROUND(Table132[[#This Row],[Total]],0))</f>
        <v>5</v>
      </c>
      <c r="Y29" s="34"/>
      <c r="Z29" s="34"/>
      <c r="AA29" s="66"/>
    </row>
    <row r="30" spans="1:27" ht="14.25" customHeight="1">
      <c r="A30" s="26">
        <v>28</v>
      </c>
      <c r="B30" s="32">
        <v>28</v>
      </c>
      <c r="C30" s="39">
        <v>30221</v>
      </c>
      <c r="D30" s="73" t="s">
        <v>96</v>
      </c>
      <c r="E30" s="26" t="s">
        <v>15</v>
      </c>
      <c r="F30" s="27" t="s">
        <v>68</v>
      </c>
      <c r="G30" s="28">
        <v>0.6</v>
      </c>
      <c r="H30" s="28">
        <v>0.45</v>
      </c>
      <c r="I30" s="28">
        <v>0.6</v>
      </c>
      <c r="J30" s="28">
        <v>0.5</v>
      </c>
      <c r="K30" s="28">
        <v>0.6</v>
      </c>
      <c r="L30" s="28" t="s">
        <v>68</v>
      </c>
      <c r="M30" s="29">
        <f t="shared" si="0"/>
        <v>2.75</v>
      </c>
      <c r="N30" s="74"/>
      <c r="O30" s="74">
        <v>0.5</v>
      </c>
      <c r="P30" s="30">
        <v>2.9</v>
      </c>
      <c r="Q30" s="54">
        <v>0</v>
      </c>
      <c r="R30" s="30"/>
      <c r="S30" s="30"/>
      <c r="T30" s="55">
        <v>5.9</v>
      </c>
      <c r="U30" s="31"/>
      <c r="V30" s="31"/>
      <c r="W30" s="38">
        <f>Table132[[#This Row],[Suma lab]]+Table132[[#This Row],[Q1]]+Table132[[#This Row],[Q2]]+MAX(Table132[[#This Row],[Partial]:[re2p]])+MAX(Table132[[#This Row],[Final]:[re2f]])</f>
        <v>12.05</v>
      </c>
      <c r="X30" s="70">
        <f>IF(Table132[[#This Row],[Total]]&gt;=9.5, 10, ROUND(Table132[[#This Row],[Total]],0))</f>
        <v>10</v>
      </c>
      <c r="Y30" s="28"/>
      <c r="Z30" s="28"/>
      <c r="AA30" s="71"/>
    </row>
    <row r="31" spans="1:27" ht="14.25" customHeight="1">
      <c r="A31" s="32">
        <v>1</v>
      </c>
      <c r="B31" s="32">
        <v>29</v>
      </c>
      <c r="C31" s="40">
        <v>30222</v>
      </c>
      <c r="D31" s="73" t="s">
        <v>97</v>
      </c>
      <c r="E31" s="26" t="s">
        <v>17</v>
      </c>
      <c r="F31" s="27" t="s">
        <v>68</v>
      </c>
      <c r="G31" s="28">
        <v>0.5</v>
      </c>
      <c r="H31" s="28">
        <v>0.1</v>
      </c>
      <c r="I31" s="28">
        <v>0.02</v>
      </c>
      <c r="J31" s="28">
        <v>0.4</v>
      </c>
      <c r="K31" s="28">
        <v>0.1</v>
      </c>
      <c r="L31" s="28" t="s">
        <v>68</v>
      </c>
      <c r="M31" s="29">
        <f t="shared" si="0"/>
        <v>1.1200000000000001</v>
      </c>
      <c r="N31" s="74"/>
      <c r="O31" s="74"/>
      <c r="P31" s="30">
        <v>1.55</v>
      </c>
      <c r="Q31" s="54">
        <v>0.1</v>
      </c>
      <c r="R31" s="30"/>
      <c r="S31" s="30"/>
      <c r="T31" s="55">
        <v>3.65</v>
      </c>
      <c r="U31" s="31"/>
      <c r="V31" s="31"/>
      <c r="W31" s="38">
        <f>Table132[[#This Row],[Suma lab]]+Table132[[#This Row],[Q1]]+Table132[[#This Row],[Q2]]+MAX(Table132[[#This Row],[Partial]:[re2p]])+MAX(Table132[[#This Row],[Final]:[re2f]])</f>
        <v>6.32</v>
      </c>
      <c r="X31" s="70">
        <f>IF(Table132[[#This Row],[Total]]&gt;=9.5, 10, ROUND(Table132[[#This Row],[Total]],0))</f>
        <v>6</v>
      </c>
      <c r="Y31" s="28"/>
      <c r="Z31" s="28"/>
      <c r="AA31" s="65"/>
    </row>
    <row r="32" spans="1:27" ht="14.25" customHeight="1">
      <c r="A32" s="26">
        <v>2</v>
      </c>
      <c r="B32" s="32">
        <v>30</v>
      </c>
      <c r="C32" s="40">
        <v>30222</v>
      </c>
      <c r="D32" s="73" t="s">
        <v>98</v>
      </c>
      <c r="E32" s="26" t="s">
        <v>16</v>
      </c>
      <c r="F32" s="27" t="s">
        <v>68</v>
      </c>
      <c r="G32" s="28">
        <v>0.6</v>
      </c>
      <c r="H32" s="28">
        <v>0.45</v>
      </c>
      <c r="I32" s="28">
        <v>0.32</v>
      </c>
      <c r="J32" s="28">
        <v>0.22</v>
      </c>
      <c r="K32" s="28" t="s">
        <v>77</v>
      </c>
      <c r="L32" s="28" t="s">
        <v>68</v>
      </c>
      <c r="M32" s="29">
        <f t="shared" si="0"/>
        <v>1.59</v>
      </c>
      <c r="N32" s="74">
        <v>0.3</v>
      </c>
      <c r="O32" s="74"/>
      <c r="P32" s="30">
        <v>2.1</v>
      </c>
      <c r="Q32" s="54"/>
      <c r="R32" s="30"/>
      <c r="S32" s="30"/>
      <c r="T32" s="55">
        <v>4</v>
      </c>
      <c r="U32" s="31"/>
      <c r="V32" s="31"/>
      <c r="W32" s="38">
        <f>Table132[[#This Row],[Suma lab]]+Table132[[#This Row],[Q1]]+Table132[[#This Row],[Q2]]+MAX(Table132[[#This Row],[Partial]:[re2p]])+MAX(Table132[[#This Row],[Final]:[re2f]])</f>
        <v>7.99</v>
      </c>
      <c r="X32" s="70">
        <f>IF(Table132[[#This Row],[Total]]&gt;=9.5, 10, ROUND(Table132[[#This Row],[Total]],0))</f>
        <v>8</v>
      </c>
      <c r="Y32" s="28"/>
      <c r="Z32" s="28"/>
      <c r="AA32" s="71"/>
    </row>
    <row r="33" spans="1:27" ht="14.25" customHeight="1">
      <c r="A33" s="32">
        <v>3</v>
      </c>
      <c r="B33" s="32">
        <v>31</v>
      </c>
      <c r="C33" s="40">
        <v>30222</v>
      </c>
      <c r="D33" s="73" t="s">
        <v>99</v>
      </c>
      <c r="E33" s="26" t="s">
        <v>16</v>
      </c>
      <c r="F33" s="27" t="s">
        <v>68</v>
      </c>
      <c r="G33" s="28">
        <v>0.4</v>
      </c>
      <c r="H33" s="28">
        <v>0.12</v>
      </c>
      <c r="I33" s="28">
        <v>0.6</v>
      </c>
      <c r="J33" s="28">
        <v>0.42</v>
      </c>
      <c r="K33" s="28">
        <v>0.5</v>
      </c>
      <c r="L33" s="28" t="s">
        <v>68</v>
      </c>
      <c r="M33" s="29">
        <f t="shared" si="0"/>
        <v>2.04</v>
      </c>
      <c r="N33" s="74">
        <v>0.2</v>
      </c>
      <c r="O33" s="74"/>
      <c r="P33" s="30">
        <v>2.1</v>
      </c>
      <c r="Q33" s="54"/>
      <c r="R33" s="30"/>
      <c r="S33" s="30"/>
      <c r="T33" s="55">
        <v>4.2</v>
      </c>
      <c r="U33" s="31"/>
      <c r="V33" s="31"/>
      <c r="W33" s="38">
        <f>Table132[[#This Row],[Suma lab]]+Table132[[#This Row],[Q1]]+Table132[[#This Row],[Q2]]+MAX(Table132[[#This Row],[Partial]:[re2p]])+MAX(Table132[[#This Row],[Final]:[re2f]])</f>
        <v>8.5399999999999991</v>
      </c>
      <c r="X33" s="70">
        <f>IF(Table132[[#This Row],[Total]]&gt;=9.5, 10, ROUND(Table132[[#This Row],[Total]],0))</f>
        <v>9</v>
      </c>
      <c r="Y33" s="28"/>
      <c r="Z33" s="28"/>
      <c r="AA33" s="65"/>
    </row>
    <row r="34" spans="1:27" ht="14.25" customHeight="1">
      <c r="A34" s="32">
        <v>4</v>
      </c>
      <c r="B34" s="32">
        <v>32</v>
      </c>
      <c r="C34" s="40">
        <v>30222</v>
      </c>
      <c r="D34" s="73" t="s">
        <v>100</v>
      </c>
      <c r="E34" s="26" t="s">
        <v>16</v>
      </c>
      <c r="F34" s="27" t="s">
        <v>68</v>
      </c>
      <c r="G34" s="28">
        <v>0.3</v>
      </c>
      <c r="H34" s="28">
        <v>0.22</v>
      </c>
      <c r="I34" s="28">
        <v>0.22</v>
      </c>
      <c r="J34" s="28">
        <v>0.3</v>
      </c>
      <c r="K34" s="28">
        <v>0.4</v>
      </c>
      <c r="L34" s="28" t="s">
        <v>68</v>
      </c>
      <c r="M34" s="29">
        <f t="shared" si="0"/>
        <v>1.44</v>
      </c>
      <c r="N34" s="74">
        <v>0.2</v>
      </c>
      <c r="O34" s="74"/>
      <c r="P34" s="30">
        <v>1.5</v>
      </c>
      <c r="Q34" s="54"/>
      <c r="R34" s="30"/>
      <c r="S34" s="30"/>
      <c r="T34" s="55">
        <v>3.7</v>
      </c>
      <c r="U34" s="31"/>
      <c r="V34" s="31"/>
      <c r="W34" s="38">
        <f>Table132[[#This Row],[Suma lab]]+Table132[[#This Row],[Q1]]+Table132[[#This Row],[Q2]]+MAX(Table132[[#This Row],[Partial]:[re2p]])+MAX(Table132[[#This Row],[Final]:[re2f]])</f>
        <v>6.84</v>
      </c>
      <c r="X34" s="70">
        <f>IF(Table132[[#This Row],[Total]]&gt;=9.5, 10, ROUND(Table132[[#This Row],[Total]],0))</f>
        <v>7</v>
      </c>
      <c r="Y34" s="28"/>
      <c r="Z34" s="28"/>
      <c r="AA34" s="65"/>
    </row>
    <row r="35" spans="1:27" ht="14.25" customHeight="1">
      <c r="A35" s="32">
        <v>5</v>
      </c>
      <c r="B35" s="32">
        <v>33</v>
      </c>
      <c r="C35" s="40">
        <v>30222</v>
      </c>
      <c r="D35" s="73" t="s">
        <v>101</v>
      </c>
      <c r="E35" s="26" t="s">
        <v>16</v>
      </c>
      <c r="F35" s="27" t="s">
        <v>68</v>
      </c>
      <c r="G35" s="28">
        <v>0.4</v>
      </c>
      <c r="H35" s="28">
        <v>0.45</v>
      </c>
      <c r="I35" s="28">
        <v>0.05</v>
      </c>
      <c r="J35" s="28">
        <v>0.02</v>
      </c>
      <c r="K35" s="28" t="s">
        <v>77</v>
      </c>
      <c r="L35" s="28" t="s">
        <v>68</v>
      </c>
      <c r="M35" s="29">
        <f t="shared" si="0"/>
        <v>0.92000000000000015</v>
      </c>
      <c r="N35" s="74">
        <v>0.3</v>
      </c>
      <c r="O35" s="74"/>
      <c r="P35" s="30">
        <v>0.6</v>
      </c>
      <c r="Q35" s="54">
        <v>2.1</v>
      </c>
      <c r="R35" s="30"/>
      <c r="S35" s="30"/>
      <c r="T35" s="55">
        <v>3.8</v>
      </c>
      <c r="U35" s="31"/>
      <c r="V35" s="31"/>
      <c r="W35" s="38">
        <f>Table132[[#This Row],[Suma lab]]+Table132[[#This Row],[Q1]]+Table132[[#This Row],[Q2]]+MAX(Table132[[#This Row],[Partial]:[re2p]])+MAX(Table132[[#This Row],[Final]:[re2f]])</f>
        <v>7.12</v>
      </c>
      <c r="X35" s="70">
        <f>IF(Table132[[#This Row],[Total]]&gt;=9.5, 10, ROUND(Table132[[#This Row],[Total]],0))</f>
        <v>7</v>
      </c>
      <c r="Y35" s="28"/>
      <c r="Z35" s="28"/>
      <c r="AA35" s="65"/>
    </row>
    <row r="36" spans="1:27" ht="14.25" customHeight="1">
      <c r="A36" s="32">
        <v>6</v>
      </c>
      <c r="B36" s="32">
        <v>34</v>
      </c>
      <c r="C36" s="40">
        <v>30222</v>
      </c>
      <c r="D36" s="73" t="s">
        <v>102</v>
      </c>
      <c r="E36" s="26" t="s">
        <v>16</v>
      </c>
      <c r="F36" s="27" t="s">
        <v>68</v>
      </c>
      <c r="G36" s="28">
        <v>0.55000000000000004</v>
      </c>
      <c r="H36" s="28">
        <v>0.4</v>
      </c>
      <c r="I36" s="28">
        <v>0.45</v>
      </c>
      <c r="J36" s="28">
        <v>0.4</v>
      </c>
      <c r="K36" s="28">
        <v>0.55000000000000004</v>
      </c>
      <c r="L36" s="28" t="s">
        <v>68</v>
      </c>
      <c r="M36" s="29">
        <f t="shared" si="0"/>
        <v>2.3500000000000005</v>
      </c>
      <c r="N36" s="74">
        <v>0.3</v>
      </c>
      <c r="O36" s="74"/>
      <c r="P36" s="30">
        <v>1.6</v>
      </c>
      <c r="Q36" s="54">
        <v>0.9</v>
      </c>
      <c r="R36" s="30"/>
      <c r="S36" s="30"/>
      <c r="T36" s="55">
        <v>3.8</v>
      </c>
      <c r="U36" s="31"/>
      <c r="V36" s="31"/>
      <c r="W36" s="38">
        <f>Table132[[#This Row],[Suma lab]]+Table132[[#This Row],[Q1]]+Table132[[#This Row],[Q2]]+MAX(Table132[[#This Row],[Partial]:[re2p]])+MAX(Table132[[#This Row],[Final]:[re2f]])</f>
        <v>8.0500000000000007</v>
      </c>
      <c r="X36" s="70">
        <f>IF(Table132[[#This Row],[Total]]&gt;=9.5, 10, ROUND(Table132[[#This Row],[Total]],0))</f>
        <v>8</v>
      </c>
      <c r="Y36" s="28"/>
      <c r="Z36" s="28"/>
      <c r="AA36" s="65"/>
    </row>
    <row r="37" spans="1:27" ht="14.25" customHeight="1">
      <c r="A37" s="32">
        <v>7</v>
      </c>
      <c r="B37" s="32">
        <v>35</v>
      </c>
      <c r="C37" s="40">
        <v>30222</v>
      </c>
      <c r="D37" s="73" t="s">
        <v>103</v>
      </c>
      <c r="E37" s="26" t="s">
        <v>16</v>
      </c>
      <c r="F37" s="27" t="s">
        <v>68</v>
      </c>
      <c r="G37" s="28">
        <v>0.4</v>
      </c>
      <c r="H37" s="28">
        <v>0.32</v>
      </c>
      <c r="I37" s="28">
        <v>0.22</v>
      </c>
      <c r="J37" s="28">
        <v>0.5</v>
      </c>
      <c r="K37" s="28">
        <v>0.3</v>
      </c>
      <c r="L37" s="28" t="s">
        <v>68</v>
      </c>
      <c r="M37" s="29">
        <f t="shared" si="0"/>
        <v>1.74</v>
      </c>
      <c r="N37" s="74">
        <v>0.35</v>
      </c>
      <c r="O37" s="74"/>
      <c r="P37" s="30">
        <v>1.1000000000000001</v>
      </c>
      <c r="Q37" s="54">
        <v>0.9</v>
      </c>
      <c r="R37" s="30"/>
      <c r="S37" s="30"/>
      <c r="T37" s="55">
        <v>4.5</v>
      </c>
      <c r="U37" s="31"/>
      <c r="V37" s="31"/>
      <c r="W37" s="38">
        <f>Table132[[#This Row],[Suma lab]]+Table132[[#This Row],[Q1]]+Table132[[#This Row],[Q2]]+MAX(Table132[[#This Row],[Partial]:[re2p]])+MAX(Table132[[#This Row],[Final]:[re2f]])</f>
        <v>7.6899999999999995</v>
      </c>
      <c r="X37" s="70">
        <f>IF(Table132[[#This Row],[Total]]&gt;=9.5, 10, ROUND(Table132[[#This Row],[Total]],0))</f>
        <v>8</v>
      </c>
      <c r="Y37" s="28"/>
      <c r="Z37" s="28"/>
      <c r="AA37" s="65"/>
    </row>
    <row r="38" spans="1:27" ht="14.25" customHeight="1">
      <c r="A38" s="32">
        <v>8</v>
      </c>
      <c r="B38" s="32">
        <v>36</v>
      </c>
      <c r="C38" s="40">
        <v>30222</v>
      </c>
      <c r="D38" s="73" t="s">
        <v>104</v>
      </c>
      <c r="E38" s="26" t="s">
        <v>16</v>
      </c>
      <c r="F38" s="27" t="s">
        <v>68</v>
      </c>
      <c r="G38" s="28">
        <v>0.6</v>
      </c>
      <c r="H38" s="28">
        <v>0.4</v>
      </c>
      <c r="I38" s="28">
        <v>0.2</v>
      </c>
      <c r="J38" s="28">
        <v>0.22</v>
      </c>
      <c r="K38" s="28">
        <v>0.4</v>
      </c>
      <c r="L38" s="28" t="s">
        <v>68</v>
      </c>
      <c r="M38" s="29">
        <f t="shared" si="0"/>
        <v>1.8199999999999998</v>
      </c>
      <c r="N38" s="74">
        <v>0.05</v>
      </c>
      <c r="O38" s="74">
        <v>0.5</v>
      </c>
      <c r="P38" s="30">
        <v>1.75</v>
      </c>
      <c r="Q38" s="54">
        <v>0</v>
      </c>
      <c r="R38" s="30"/>
      <c r="S38" s="30"/>
      <c r="T38" s="55">
        <v>3.6</v>
      </c>
      <c r="U38" s="31"/>
      <c r="V38" s="31"/>
      <c r="W38" s="38">
        <f>Table132[[#This Row],[Suma lab]]+Table132[[#This Row],[Q1]]+Table132[[#This Row],[Q2]]+MAX(Table132[[#This Row],[Partial]:[re2p]])+MAX(Table132[[#This Row],[Final]:[re2f]])</f>
        <v>7.7200000000000006</v>
      </c>
      <c r="X38" s="70">
        <f>IF(Table132[[#This Row],[Total]]&gt;=9.5, 10, ROUND(Table132[[#This Row],[Total]],0))</f>
        <v>8</v>
      </c>
      <c r="Y38" s="28"/>
      <c r="Z38" s="28"/>
      <c r="AA38" s="65"/>
    </row>
    <row r="39" spans="1:27" ht="14.25" customHeight="1">
      <c r="A39" s="32">
        <v>9</v>
      </c>
      <c r="B39" s="32">
        <v>37</v>
      </c>
      <c r="C39" s="40">
        <v>30222</v>
      </c>
      <c r="D39" s="73" t="s">
        <v>105</v>
      </c>
      <c r="E39" s="26" t="s">
        <v>16</v>
      </c>
      <c r="F39" s="27" t="s">
        <v>68</v>
      </c>
      <c r="G39" s="28">
        <v>0.6</v>
      </c>
      <c r="H39" s="28">
        <v>0.22</v>
      </c>
      <c r="I39" s="28">
        <v>0.02</v>
      </c>
      <c r="J39" s="28">
        <v>0.2</v>
      </c>
      <c r="K39" s="28">
        <v>0.3</v>
      </c>
      <c r="L39" s="28" t="s">
        <v>77</v>
      </c>
      <c r="M39" s="29">
        <f t="shared" si="0"/>
        <v>1.34</v>
      </c>
      <c r="N39" s="74">
        <v>0.2</v>
      </c>
      <c r="O39" s="74"/>
      <c r="P39" s="30">
        <v>0.9</v>
      </c>
      <c r="Q39" s="54">
        <v>1.3</v>
      </c>
      <c r="R39" s="30"/>
      <c r="S39" s="30"/>
      <c r="T39" s="55">
        <v>1.3</v>
      </c>
      <c r="U39" s="31"/>
      <c r="V39" s="31"/>
      <c r="W39" s="38">
        <f>Table132[[#This Row],[Suma lab]]+Table132[[#This Row],[Q1]]+Table132[[#This Row],[Q2]]+MAX(Table132[[#This Row],[Partial]:[re2p]])+MAX(Table132[[#This Row],[Final]:[re2f]])</f>
        <v>4.1399999999999997</v>
      </c>
      <c r="X39" s="70">
        <f>IF(Table132[[#This Row],[Total]]&gt;=9.5, 10, ROUND(Table132[[#This Row],[Total]],0))</f>
        <v>4</v>
      </c>
      <c r="Y39" s="28"/>
      <c r="Z39" s="28"/>
      <c r="AA39" s="65"/>
    </row>
    <row r="40" spans="1:27" ht="14.25" customHeight="1">
      <c r="A40" s="32">
        <v>10</v>
      </c>
      <c r="B40" s="32">
        <v>38</v>
      </c>
      <c r="C40" s="40">
        <v>30222</v>
      </c>
      <c r="D40" s="73" t="s">
        <v>106</v>
      </c>
      <c r="E40" s="26" t="s">
        <v>16</v>
      </c>
      <c r="F40" s="27" t="s">
        <v>68</v>
      </c>
      <c r="G40" s="28">
        <v>0.3</v>
      </c>
      <c r="H40" s="28">
        <v>0.3</v>
      </c>
      <c r="I40" s="28">
        <v>0.12</v>
      </c>
      <c r="J40" s="28">
        <v>0.2</v>
      </c>
      <c r="K40" s="28">
        <v>0.3</v>
      </c>
      <c r="L40" s="28" t="s">
        <v>68</v>
      </c>
      <c r="M40" s="29">
        <f t="shared" si="0"/>
        <v>1.22</v>
      </c>
      <c r="N40" s="74"/>
      <c r="O40" s="74"/>
      <c r="P40" s="30"/>
      <c r="Q40" s="54">
        <v>1.5</v>
      </c>
      <c r="R40" s="30"/>
      <c r="S40" s="30"/>
      <c r="T40" s="55">
        <v>2.9</v>
      </c>
      <c r="U40" s="31"/>
      <c r="V40" s="31"/>
      <c r="W40" s="38">
        <f>Table132[[#This Row],[Suma lab]]+Table132[[#This Row],[Q1]]+Table132[[#This Row],[Q2]]+MAX(Table132[[#This Row],[Partial]:[re2p]])+MAX(Table132[[#This Row],[Final]:[re2f]])</f>
        <v>5.6199999999999992</v>
      </c>
      <c r="X40" s="70">
        <f>IF(Table132[[#This Row],[Total]]&gt;=9.5, 10, ROUND(Table132[[#This Row],[Total]],0))</f>
        <v>6</v>
      </c>
      <c r="Y40" s="28"/>
      <c r="Z40" s="28"/>
      <c r="AA40" s="65"/>
    </row>
    <row r="41" spans="1:27" ht="14.25" customHeight="1">
      <c r="A41" s="32">
        <v>11</v>
      </c>
      <c r="B41" s="32">
        <v>39</v>
      </c>
      <c r="C41" s="40">
        <v>30222</v>
      </c>
      <c r="D41" s="73" t="s">
        <v>107</v>
      </c>
      <c r="E41" s="26" t="s">
        <v>16</v>
      </c>
      <c r="F41" s="27" t="s">
        <v>68</v>
      </c>
      <c r="G41" s="28">
        <v>0.4</v>
      </c>
      <c r="H41" s="28" t="s">
        <v>77</v>
      </c>
      <c r="I41" s="28">
        <v>0.6</v>
      </c>
      <c r="J41" s="28">
        <v>0.35</v>
      </c>
      <c r="K41" s="28">
        <v>0.35</v>
      </c>
      <c r="L41" s="28" t="s">
        <v>68</v>
      </c>
      <c r="M41" s="29">
        <f t="shared" si="0"/>
        <v>1.7000000000000002</v>
      </c>
      <c r="N41" s="74"/>
      <c r="O41" s="74"/>
      <c r="P41" s="30">
        <v>2</v>
      </c>
      <c r="Q41" s="54">
        <v>0</v>
      </c>
      <c r="R41" s="30"/>
      <c r="S41" s="30"/>
      <c r="T41" s="55">
        <v>4.95</v>
      </c>
      <c r="U41" s="31"/>
      <c r="V41" s="31"/>
      <c r="W41" s="38">
        <f>Table132[[#This Row],[Suma lab]]+Table132[[#This Row],[Q1]]+Table132[[#This Row],[Q2]]+MAX(Table132[[#This Row],[Partial]:[re2p]])+MAX(Table132[[#This Row],[Final]:[re2f]])</f>
        <v>8.65</v>
      </c>
      <c r="X41" s="70">
        <f>IF(Table132[[#This Row],[Total]]&gt;=9.5, 10, ROUND(Table132[[#This Row],[Total]],0))</f>
        <v>9</v>
      </c>
      <c r="Y41" s="28"/>
      <c r="Z41" s="28"/>
      <c r="AA41" s="65"/>
    </row>
    <row r="42" spans="1:27" ht="14.25" customHeight="1">
      <c r="A42" s="32">
        <v>12</v>
      </c>
      <c r="B42" s="32">
        <v>40</v>
      </c>
      <c r="C42" s="40">
        <v>30222</v>
      </c>
      <c r="D42" s="73" t="s">
        <v>108</v>
      </c>
      <c r="E42" s="26" t="s">
        <v>16</v>
      </c>
      <c r="F42" s="27" t="s">
        <v>68</v>
      </c>
      <c r="G42" s="28">
        <v>0.6</v>
      </c>
      <c r="H42" s="28">
        <v>0.32</v>
      </c>
      <c r="I42" s="28">
        <v>0.22</v>
      </c>
      <c r="J42" s="28">
        <v>0.55000000000000004</v>
      </c>
      <c r="K42" s="28">
        <v>0.6</v>
      </c>
      <c r="L42" s="28" t="s">
        <v>68</v>
      </c>
      <c r="M42" s="29">
        <f t="shared" si="0"/>
        <v>2.29</v>
      </c>
      <c r="N42" s="74">
        <v>0.2</v>
      </c>
      <c r="O42" s="74"/>
      <c r="P42" s="30">
        <v>2.5</v>
      </c>
      <c r="Q42" s="54">
        <v>0</v>
      </c>
      <c r="R42" s="30"/>
      <c r="S42" s="30"/>
      <c r="T42" s="55">
        <v>5.2</v>
      </c>
      <c r="U42" s="31"/>
      <c r="V42" s="31"/>
      <c r="W42" s="38">
        <f>Table132[[#This Row],[Suma lab]]+Table132[[#This Row],[Q1]]+Table132[[#This Row],[Q2]]+MAX(Table132[[#This Row],[Partial]:[re2p]])+MAX(Table132[[#This Row],[Final]:[re2f]])</f>
        <v>10.190000000000001</v>
      </c>
      <c r="X42" s="70">
        <f>IF(Table132[[#This Row],[Total]]&gt;=9.5, 10, ROUND(Table132[[#This Row],[Total]],0))</f>
        <v>10</v>
      </c>
      <c r="Y42" s="28"/>
      <c r="Z42" s="28"/>
      <c r="AA42" s="65"/>
    </row>
    <row r="43" spans="1:27" ht="14.25" customHeight="1">
      <c r="A43" s="32">
        <v>13</v>
      </c>
      <c r="B43" s="32">
        <v>41</v>
      </c>
      <c r="C43" s="40">
        <v>30222</v>
      </c>
      <c r="D43" s="73" t="s">
        <v>109</v>
      </c>
      <c r="E43" s="26" t="s">
        <v>16</v>
      </c>
      <c r="F43" s="27" t="s">
        <v>68</v>
      </c>
      <c r="G43" s="28">
        <v>0.3</v>
      </c>
      <c r="H43" s="28">
        <v>0.32</v>
      </c>
      <c r="I43" s="28">
        <v>0.02</v>
      </c>
      <c r="J43" s="28">
        <v>0.22</v>
      </c>
      <c r="K43" s="28">
        <v>0.1</v>
      </c>
      <c r="L43" s="28" t="s">
        <v>68</v>
      </c>
      <c r="M43" s="29">
        <f t="shared" si="0"/>
        <v>0.96</v>
      </c>
      <c r="N43" s="74"/>
      <c r="O43" s="74"/>
      <c r="P43" s="30">
        <v>0.9</v>
      </c>
      <c r="Q43" s="54"/>
      <c r="R43" s="30"/>
      <c r="S43" s="30"/>
      <c r="T43" s="55">
        <v>2.9</v>
      </c>
      <c r="U43" s="31"/>
      <c r="V43" s="31"/>
      <c r="W43" s="38">
        <f>Table132[[#This Row],[Suma lab]]+Table132[[#This Row],[Q1]]+Table132[[#This Row],[Q2]]+MAX(Table132[[#This Row],[Partial]:[re2p]])+MAX(Table132[[#This Row],[Final]:[re2f]])</f>
        <v>4.76</v>
      </c>
      <c r="X43" s="70">
        <f>IF(Table132[[#This Row],[Total]]&gt;=9.5, 10, ROUND(Table132[[#This Row],[Total]],0))</f>
        <v>5</v>
      </c>
      <c r="Y43" s="28"/>
      <c r="Z43" s="28"/>
      <c r="AA43" s="65"/>
    </row>
    <row r="44" spans="1:27" ht="14.25" customHeight="1">
      <c r="A44" s="32">
        <v>14</v>
      </c>
      <c r="B44" s="32">
        <v>42</v>
      </c>
      <c r="C44" s="40">
        <v>30222</v>
      </c>
      <c r="D44" s="73" t="s">
        <v>110</v>
      </c>
      <c r="E44" s="26" t="s">
        <v>17</v>
      </c>
      <c r="F44" s="27" t="s">
        <v>68</v>
      </c>
      <c r="G44" s="28">
        <v>0.6</v>
      </c>
      <c r="H44" s="28">
        <v>0.4</v>
      </c>
      <c r="I44" s="28">
        <v>0.2</v>
      </c>
      <c r="J44" s="28">
        <v>0.6</v>
      </c>
      <c r="K44" s="28">
        <v>0.1</v>
      </c>
      <c r="L44" s="28" t="s">
        <v>68</v>
      </c>
      <c r="M44" s="29">
        <f t="shared" si="0"/>
        <v>1.9</v>
      </c>
      <c r="N44" s="74">
        <v>0.4</v>
      </c>
      <c r="O44" s="74"/>
      <c r="P44" s="30">
        <v>1.6</v>
      </c>
      <c r="Q44" s="54"/>
      <c r="R44" s="30"/>
      <c r="S44" s="30"/>
      <c r="T44" s="55">
        <v>5.6</v>
      </c>
      <c r="U44" s="31"/>
      <c r="V44" s="31"/>
      <c r="W44" s="38">
        <f>Table132[[#This Row],[Suma lab]]+Table132[[#This Row],[Q1]]+Table132[[#This Row],[Q2]]+MAX(Table132[[#This Row],[Partial]:[re2p]])+MAX(Table132[[#This Row],[Final]:[re2f]])</f>
        <v>9.5</v>
      </c>
      <c r="X44" s="70">
        <f>IF(Table132[[#This Row],[Total]]&gt;=9.5, 10, ROUND(Table132[[#This Row],[Total]],0))</f>
        <v>10</v>
      </c>
      <c r="Y44" s="28"/>
      <c r="Z44" s="28"/>
      <c r="AA44" s="65"/>
    </row>
    <row r="45" spans="1:27" ht="14.25" customHeight="1">
      <c r="A45" s="32">
        <v>15</v>
      </c>
      <c r="B45" s="32">
        <v>43</v>
      </c>
      <c r="C45" s="40">
        <v>30222</v>
      </c>
      <c r="D45" s="73" t="s">
        <v>111</v>
      </c>
      <c r="E45" s="26" t="s">
        <v>17</v>
      </c>
      <c r="F45" s="27" t="s">
        <v>68</v>
      </c>
      <c r="G45" s="28">
        <v>0.4</v>
      </c>
      <c r="H45" s="28">
        <v>0.22</v>
      </c>
      <c r="I45" s="28">
        <v>0.2</v>
      </c>
      <c r="J45" s="28">
        <v>0.15</v>
      </c>
      <c r="K45" s="28">
        <v>0.1</v>
      </c>
      <c r="L45" s="28" t="s">
        <v>68</v>
      </c>
      <c r="M45" s="29">
        <f t="shared" si="0"/>
        <v>1.07</v>
      </c>
      <c r="N45" s="74"/>
      <c r="O45" s="74"/>
      <c r="P45" s="30">
        <v>0.45</v>
      </c>
      <c r="Q45" s="54">
        <v>1.9</v>
      </c>
      <c r="R45" s="30"/>
      <c r="S45" s="30"/>
      <c r="T45" s="55">
        <v>1.9</v>
      </c>
      <c r="U45" s="31"/>
      <c r="V45" s="31"/>
      <c r="W45" s="38">
        <f>Table132[[#This Row],[Suma lab]]+Table132[[#This Row],[Q1]]+Table132[[#This Row],[Q2]]+MAX(Table132[[#This Row],[Partial]:[re2p]])+MAX(Table132[[#This Row],[Final]:[re2f]])</f>
        <v>4.8699999999999992</v>
      </c>
      <c r="X45" s="70">
        <f>IF(Table132[[#This Row],[Total]]&gt;=9.5, 10, ROUND(Table132[[#This Row],[Total]],0))</f>
        <v>5</v>
      </c>
      <c r="Y45" s="28"/>
      <c r="Z45" s="28"/>
      <c r="AA45" s="65"/>
    </row>
    <row r="46" spans="1:27" ht="14.25" customHeight="1">
      <c r="A46" s="32">
        <v>16</v>
      </c>
      <c r="B46" s="32">
        <v>44</v>
      </c>
      <c r="C46" s="40">
        <v>30222</v>
      </c>
      <c r="D46" s="73" t="s">
        <v>112</v>
      </c>
      <c r="E46" s="26" t="s">
        <v>17</v>
      </c>
      <c r="F46" s="27" t="s">
        <v>68</v>
      </c>
      <c r="G46" s="28">
        <v>0.3</v>
      </c>
      <c r="H46" s="28">
        <v>0.25</v>
      </c>
      <c r="I46" s="28">
        <v>0.22</v>
      </c>
      <c r="J46" s="28">
        <v>0.22</v>
      </c>
      <c r="K46" s="28">
        <v>0.1</v>
      </c>
      <c r="L46" s="28" t="s">
        <v>68</v>
      </c>
      <c r="M46" s="29">
        <f t="shared" si="0"/>
        <v>1.0900000000000001</v>
      </c>
      <c r="N46" s="74"/>
      <c r="O46" s="74"/>
      <c r="P46" s="30">
        <v>0.15</v>
      </c>
      <c r="Q46" s="54">
        <v>0.4</v>
      </c>
      <c r="R46" s="30"/>
      <c r="S46" s="30"/>
      <c r="T46" s="55">
        <v>0.4</v>
      </c>
      <c r="U46" s="31"/>
      <c r="V46" s="31"/>
      <c r="W46" s="38">
        <f>Table132[[#This Row],[Suma lab]]+Table132[[#This Row],[Q1]]+Table132[[#This Row],[Q2]]+MAX(Table132[[#This Row],[Partial]:[re2p]])+MAX(Table132[[#This Row],[Final]:[re2f]])</f>
        <v>1.8900000000000001</v>
      </c>
      <c r="X46" s="70">
        <f>IF(Table132[[#This Row],[Total]]&gt;=9.5, 10, ROUND(Table132[[#This Row],[Total]],0))</f>
        <v>2</v>
      </c>
      <c r="Y46" s="28"/>
      <c r="Z46" s="28"/>
      <c r="AA46" s="65"/>
    </row>
    <row r="47" spans="1:27" ht="14.25" customHeight="1">
      <c r="A47" s="32">
        <v>17</v>
      </c>
      <c r="B47" s="32">
        <v>45</v>
      </c>
      <c r="C47" s="40">
        <v>30222</v>
      </c>
      <c r="D47" s="73" t="s">
        <v>113</v>
      </c>
      <c r="E47" s="26" t="s">
        <v>17</v>
      </c>
      <c r="F47" s="27" t="s">
        <v>68</v>
      </c>
      <c r="G47" s="28">
        <v>0.6</v>
      </c>
      <c r="H47" s="28">
        <v>0.5</v>
      </c>
      <c r="I47" s="28">
        <v>0.6</v>
      </c>
      <c r="J47" s="28">
        <v>0.6</v>
      </c>
      <c r="K47" s="28">
        <v>0.55000000000000004</v>
      </c>
      <c r="L47" s="28" t="s">
        <v>68</v>
      </c>
      <c r="M47" s="29">
        <f t="shared" si="0"/>
        <v>2.8500000000000005</v>
      </c>
      <c r="N47" s="74">
        <v>0.3</v>
      </c>
      <c r="O47" s="74"/>
      <c r="P47" s="30">
        <v>2.8</v>
      </c>
      <c r="Q47" s="54"/>
      <c r="R47" s="30"/>
      <c r="S47" s="30"/>
      <c r="T47" s="55">
        <v>5.9</v>
      </c>
      <c r="U47" s="31"/>
      <c r="V47" s="31"/>
      <c r="W47" s="38">
        <f>Table132[[#This Row],[Suma lab]]+Table132[[#This Row],[Q1]]+Table132[[#This Row],[Q2]]+MAX(Table132[[#This Row],[Partial]:[re2p]])+MAX(Table132[[#This Row],[Final]:[re2f]])</f>
        <v>11.850000000000001</v>
      </c>
      <c r="X47" s="70">
        <f>IF(Table132[[#This Row],[Total]]&gt;=9.5, 10, ROUND(Table132[[#This Row],[Total]],0))</f>
        <v>10</v>
      </c>
      <c r="Y47" s="28"/>
      <c r="Z47" s="28"/>
      <c r="AA47" s="65"/>
    </row>
    <row r="48" spans="1:27" ht="14.25" customHeight="1">
      <c r="A48" s="32">
        <v>18</v>
      </c>
      <c r="B48" s="32">
        <v>46</v>
      </c>
      <c r="C48" s="40">
        <v>30222</v>
      </c>
      <c r="D48" s="73" t="s">
        <v>114</v>
      </c>
      <c r="E48" s="26" t="s">
        <v>17</v>
      </c>
      <c r="F48" s="27" t="s">
        <v>68</v>
      </c>
      <c r="G48" s="28">
        <v>0.2</v>
      </c>
      <c r="H48" s="28">
        <v>0.2</v>
      </c>
      <c r="I48" s="28">
        <v>0.1</v>
      </c>
      <c r="J48" s="28">
        <v>0.22</v>
      </c>
      <c r="K48" s="28">
        <v>0.35</v>
      </c>
      <c r="L48" s="28" t="s">
        <v>77</v>
      </c>
      <c r="M48" s="29">
        <f t="shared" si="0"/>
        <v>1.0699999999999998</v>
      </c>
      <c r="N48" s="74">
        <v>0.2</v>
      </c>
      <c r="O48" s="74"/>
      <c r="P48" s="30">
        <v>1.5</v>
      </c>
      <c r="Q48" s="54">
        <v>0</v>
      </c>
      <c r="R48" s="30"/>
      <c r="S48" s="30"/>
      <c r="T48" s="55">
        <v>5.35</v>
      </c>
      <c r="U48" s="31"/>
      <c r="V48" s="31"/>
      <c r="W48" s="38">
        <f>Table132[[#This Row],[Suma lab]]+Table132[[#This Row],[Q1]]+Table132[[#This Row],[Q2]]+MAX(Table132[[#This Row],[Partial]:[re2p]])+MAX(Table132[[#This Row],[Final]:[re2f]])</f>
        <v>8.1199999999999992</v>
      </c>
      <c r="X48" s="70">
        <f>IF(Table132[[#This Row],[Total]]&gt;=9.5, 10, ROUND(Table132[[#This Row],[Total]],0))</f>
        <v>8</v>
      </c>
      <c r="Y48" s="28"/>
      <c r="Z48" s="28"/>
      <c r="AA48" s="65"/>
    </row>
    <row r="49" spans="1:27" ht="14.25" customHeight="1">
      <c r="A49" s="32">
        <v>19</v>
      </c>
      <c r="B49" s="32">
        <v>47</v>
      </c>
      <c r="C49" s="40">
        <v>30222</v>
      </c>
      <c r="D49" s="73" t="s">
        <v>115</v>
      </c>
      <c r="E49" s="26" t="s">
        <v>17</v>
      </c>
      <c r="F49" s="27" t="s">
        <v>68</v>
      </c>
      <c r="G49" s="28">
        <v>0.6</v>
      </c>
      <c r="H49" s="28">
        <v>0.6</v>
      </c>
      <c r="I49" s="28">
        <v>0.2</v>
      </c>
      <c r="J49" s="28">
        <v>0.6</v>
      </c>
      <c r="K49" s="28">
        <v>0.25</v>
      </c>
      <c r="L49" s="28" t="s">
        <v>68</v>
      </c>
      <c r="M49" s="29">
        <f t="shared" si="0"/>
        <v>2.25</v>
      </c>
      <c r="N49" s="74">
        <v>0.3</v>
      </c>
      <c r="O49" s="74">
        <v>0.5</v>
      </c>
      <c r="P49" s="30">
        <v>1.8</v>
      </c>
      <c r="Q49" s="54">
        <v>0</v>
      </c>
      <c r="R49" s="30"/>
      <c r="S49" s="30"/>
      <c r="T49" s="55">
        <v>2.9</v>
      </c>
      <c r="U49" s="31"/>
      <c r="V49" s="31"/>
      <c r="W49" s="38">
        <f>Table132[[#This Row],[Suma lab]]+Table132[[#This Row],[Q1]]+Table132[[#This Row],[Q2]]+MAX(Table132[[#This Row],[Partial]:[re2p]])+MAX(Table132[[#This Row],[Final]:[re2f]])</f>
        <v>7.75</v>
      </c>
      <c r="X49" s="70">
        <f>IF(Table132[[#This Row],[Total]]&gt;=9.5, 10, ROUND(Table132[[#This Row],[Total]],0))</f>
        <v>8</v>
      </c>
      <c r="Y49" s="28"/>
      <c r="Z49" s="28"/>
      <c r="AA49" s="65"/>
    </row>
    <row r="50" spans="1:27" ht="14.25" customHeight="1">
      <c r="A50" s="32">
        <v>20</v>
      </c>
      <c r="B50" s="32">
        <v>48</v>
      </c>
      <c r="C50" s="40">
        <v>30222</v>
      </c>
      <c r="D50" s="73" t="s">
        <v>116</v>
      </c>
      <c r="E50" s="26" t="s">
        <v>17</v>
      </c>
      <c r="F50" s="27" t="s">
        <v>68</v>
      </c>
      <c r="G50" s="28">
        <v>0.4</v>
      </c>
      <c r="H50" s="28">
        <v>0.15</v>
      </c>
      <c r="I50" s="28">
        <v>0.6</v>
      </c>
      <c r="J50" s="28">
        <v>0.5</v>
      </c>
      <c r="K50" s="28">
        <v>0.3</v>
      </c>
      <c r="L50" s="28" t="s">
        <v>68</v>
      </c>
      <c r="M50" s="29">
        <f t="shared" si="0"/>
        <v>1.95</v>
      </c>
      <c r="N50" s="74">
        <v>0.3</v>
      </c>
      <c r="O50" s="74"/>
      <c r="P50" s="30">
        <v>1.3</v>
      </c>
      <c r="Q50" s="54"/>
      <c r="R50" s="30"/>
      <c r="S50" s="30"/>
      <c r="T50" s="55">
        <v>4.4000000000000004</v>
      </c>
      <c r="U50" s="31"/>
      <c r="V50" s="31"/>
      <c r="W50" s="38">
        <f>Table132[[#This Row],[Suma lab]]+Table132[[#This Row],[Q1]]+Table132[[#This Row],[Q2]]+MAX(Table132[[#This Row],[Partial]:[re2p]])+MAX(Table132[[#This Row],[Final]:[re2f]])</f>
        <v>7.95</v>
      </c>
      <c r="X50" s="70">
        <f>IF(Table132[[#This Row],[Total]]&gt;=9.5, 10, ROUND(Table132[[#This Row],[Total]],0))</f>
        <v>8</v>
      </c>
      <c r="Y50" s="28"/>
      <c r="Z50" s="28"/>
      <c r="AA50" s="65"/>
    </row>
    <row r="51" spans="1:27" ht="14.25" customHeight="1">
      <c r="A51" s="32">
        <v>21</v>
      </c>
      <c r="B51" s="32">
        <v>49</v>
      </c>
      <c r="C51" s="40">
        <v>30222</v>
      </c>
      <c r="D51" s="73" t="s">
        <v>117</v>
      </c>
      <c r="E51" s="26" t="s">
        <v>16</v>
      </c>
      <c r="F51" s="27" t="s">
        <v>68</v>
      </c>
      <c r="G51" s="28">
        <v>0.6</v>
      </c>
      <c r="H51" s="28">
        <v>0.6</v>
      </c>
      <c r="I51" s="28">
        <v>0.3</v>
      </c>
      <c r="J51" s="28">
        <v>0.5</v>
      </c>
      <c r="K51" s="28">
        <v>0.4</v>
      </c>
      <c r="L51" s="28" t="s">
        <v>68</v>
      </c>
      <c r="M51" s="29">
        <f t="shared" si="0"/>
        <v>2.4</v>
      </c>
      <c r="N51" s="74">
        <v>0.5</v>
      </c>
      <c r="O51" s="74"/>
      <c r="P51" s="30">
        <v>3.5</v>
      </c>
      <c r="Q51" s="54">
        <v>0</v>
      </c>
      <c r="R51" s="30"/>
      <c r="S51" s="30"/>
      <c r="T51" s="55">
        <v>5.9</v>
      </c>
      <c r="U51" s="31"/>
      <c r="V51" s="31"/>
      <c r="W51" s="38">
        <f>Table132[[#This Row],[Suma lab]]+Table132[[#This Row],[Q1]]+Table132[[#This Row],[Q2]]+MAX(Table132[[#This Row],[Partial]:[re2p]])+MAX(Table132[[#This Row],[Final]:[re2f]])</f>
        <v>12.3</v>
      </c>
      <c r="X51" s="70">
        <f>IF(Table132[[#This Row],[Total]]&gt;=9.5, 10, ROUND(Table132[[#This Row],[Total]],0))</f>
        <v>10</v>
      </c>
      <c r="Y51" s="28"/>
      <c r="Z51" s="28"/>
      <c r="AA51" s="65"/>
    </row>
    <row r="52" spans="1:27" ht="14.25" customHeight="1">
      <c r="A52" s="32">
        <v>22</v>
      </c>
      <c r="B52" s="32">
        <v>50</v>
      </c>
      <c r="C52" s="40">
        <v>30222</v>
      </c>
      <c r="D52" s="73" t="s">
        <v>118</v>
      </c>
      <c r="E52" s="26" t="s">
        <v>16</v>
      </c>
      <c r="F52" s="27" t="s">
        <v>68</v>
      </c>
      <c r="G52" s="28">
        <v>0.35</v>
      </c>
      <c r="H52" s="28">
        <v>0.6</v>
      </c>
      <c r="I52" s="28">
        <v>0.2</v>
      </c>
      <c r="J52" s="28">
        <v>0.45</v>
      </c>
      <c r="K52" s="28">
        <v>0.5</v>
      </c>
      <c r="L52" s="28" t="s">
        <v>68</v>
      </c>
      <c r="M52" s="29">
        <f t="shared" si="0"/>
        <v>2.0999999999999996</v>
      </c>
      <c r="N52" s="74">
        <v>0.3</v>
      </c>
      <c r="O52" s="74"/>
      <c r="P52" s="30">
        <v>1.7</v>
      </c>
      <c r="Q52" s="54">
        <v>0</v>
      </c>
      <c r="R52" s="30"/>
      <c r="S52" s="30"/>
      <c r="T52" s="55">
        <v>3.75</v>
      </c>
      <c r="U52" s="31"/>
      <c r="V52" s="31"/>
      <c r="W52" s="38">
        <f>Table132[[#This Row],[Suma lab]]+Table132[[#This Row],[Q1]]+Table132[[#This Row],[Q2]]+MAX(Table132[[#This Row],[Partial]:[re2p]])+MAX(Table132[[#This Row],[Final]:[re2f]])</f>
        <v>7.85</v>
      </c>
      <c r="X52" s="70">
        <f>IF(Table132[[#This Row],[Total]]&gt;=9.5, 10, ROUND(Table132[[#This Row],[Total]],0))</f>
        <v>8</v>
      </c>
      <c r="Y52" s="28"/>
      <c r="Z52" s="28"/>
      <c r="AA52" s="65"/>
    </row>
    <row r="53" spans="1:27" ht="14.25" customHeight="1">
      <c r="A53" s="32">
        <v>23</v>
      </c>
      <c r="B53" s="32">
        <v>51</v>
      </c>
      <c r="C53" s="40">
        <v>30222</v>
      </c>
      <c r="D53" s="73" t="s">
        <v>119</v>
      </c>
      <c r="E53" s="26" t="s">
        <v>17</v>
      </c>
      <c r="F53" s="27" t="s">
        <v>68</v>
      </c>
      <c r="G53" s="28">
        <v>0.6</v>
      </c>
      <c r="H53" s="28">
        <v>0.4</v>
      </c>
      <c r="I53" s="28">
        <v>0</v>
      </c>
      <c r="J53" s="28">
        <v>0.5</v>
      </c>
      <c r="K53" s="28">
        <v>0.15</v>
      </c>
      <c r="L53" s="28" t="s">
        <v>68</v>
      </c>
      <c r="M53" s="29">
        <f t="shared" si="0"/>
        <v>1.65</v>
      </c>
      <c r="N53" s="74">
        <v>0.3</v>
      </c>
      <c r="O53" s="74"/>
      <c r="P53" s="30">
        <v>1.1000000000000001</v>
      </c>
      <c r="Q53" s="54">
        <v>0.9</v>
      </c>
      <c r="R53" s="30"/>
      <c r="S53" s="30"/>
      <c r="T53" s="55">
        <v>5</v>
      </c>
      <c r="U53" s="31"/>
      <c r="V53" s="31"/>
      <c r="W53" s="38">
        <f>Table132[[#This Row],[Suma lab]]+Table132[[#This Row],[Q1]]+Table132[[#This Row],[Q2]]+MAX(Table132[[#This Row],[Partial]:[re2p]])+MAX(Table132[[#This Row],[Final]:[re2f]])</f>
        <v>8.0500000000000007</v>
      </c>
      <c r="X53" s="70">
        <f>IF(Table132[[#This Row],[Total]]&gt;=9.5, 10, ROUND(Table132[[#This Row],[Total]],0))</f>
        <v>8</v>
      </c>
      <c r="Y53" s="28"/>
      <c r="Z53" s="28"/>
      <c r="AA53" s="65"/>
    </row>
    <row r="54" spans="1:27" ht="14.25" customHeight="1">
      <c r="A54" s="32">
        <v>24</v>
      </c>
      <c r="B54" s="32">
        <v>52</v>
      </c>
      <c r="C54" s="40">
        <v>30222</v>
      </c>
      <c r="D54" s="73" t="s">
        <v>120</v>
      </c>
      <c r="E54" s="26" t="s">
        <v>17</v>
      </c>
      <c r="F54" s="27" t="s">
        <v>68</v>
      </c>
      <c r="G54" s="28">
        <v>0.6</v>
      </c>
      <c r="H54" s="28">
        <v>0.4</v>
      </c>
      <c r="I54" s="28">
        <v>0.45</v>
      </c>
      <c r="J54" s="28">
        <v>0.5</v>
      </c>
      <c r="K54" s="28">
        <v>0.3</v>
      </c>
      <c r="L54" s="28" t="s">
        <v>68</v>
      </c>
      <c r="M54" s="29">
        <f t="shared" si="0"/>
        <v>2.25</v>
      </c>
      <c r="N54" s="74">
        <v>0.3</v>
      </c>
      <c r="O54" s="74"/>
      <c r="P54" s="30">
        <v>1</v>
      </c>
      <c r="Q54" s="54">
        <v>3.1</v>
      </c>
      <c r="R54" s="30"/>
      <c r="S54" s="30"/>
      <c r="T54" s="55">
        <v>4.9000000000000004</v>
      </c>
      <c r="U54" s="31"/>
      <c r="V54" s="31"/>
      <c r="W54" s="38">
        <f>Table132[[#This Row],[Suma lab]]+Table132[[#This Row],[Q1]]+Table132[[#This Row],[Q2]]+MAX(Table132[[#This Row],[Partial]:[re2p]])+MAX(Table132[[#This Row],[Final]:[re2f]])</f>
        <v>10.55</v>
      </c>
      <c r="X54" s="70">
        <f>IF(Table132[[#This Row],[Total]]&gt;=9.5, 10, ROUND(Table132[[#This Row],[Total]],0))</f>
        <v>10</v>
      </c>
      <c r="Y54" s="28"/>
      <c r="Z54" s="28"/>
      <c r="AA54" s="65"/>
    </row>
    <row r="55" spans="1:27" ht="14.25" customHeight="1">
      <c r="A55" s="32">
        <v>25</v>
      </c>
      <c r="B55" s="32">
        <v>53</v>
      </c>
      <c r="C55" s="40">
        <v>30222</v>
      </c>
      <c r="D55" s="73" t="s">
        <v>121</v>
      </c>
      <c r="E55" s="26" t="s">
        <v>17</v>
      </c>
      <c r="F55" s="33" t="s">
        <v>68</v>
      </c>
      <c r="G55" s="34">
        <v>0.6</v>
      </c>
      <c r="H55" s="34">
        <v>0.6</v>
      </c>
      <c r="I55" s="34">
        <v>0.35</v>
      </c>
      <c r="J55" s="34">
        <v>0.55000000000000004</v>
      </c>
      <c r="K55" s="34">
        <v>0.6</v>
      </c>
      <c r="L55" s="28" t="s">
        <v>77</v>
      </c>
      <c r="M55" s="35">
        <f t="shared" si="0"/>
        <v>2.6999999999999997</v>
      </c>
      <c r="N55" s="75">
        <v>0.5</v>
      </c>
      <c r="O55" s="75"/>
      <c r="P55" s="36">
        <v>1.5</v>
      </c>
      <c r="Q55" s="58">
        <v>1.4</v>
      </c>
      <c r="R55" s="36"/>
      <c r="S55" s="36"/>
      <c r="T55" s="59">
        <v>4.8</v>
      </c>
      <c r="U55" s="37"/>
      <c r="V55" s="37"/>
      <c r="W55" s="38">
        <f>Table132[[#This Row],[Suma lab]]+Table132[[#This Row],[Q1]]+Table132[[#This Row],[Q2]]+MAX(Table132[[#This Row],[Partial]:[re2p]])+MAX(Table132[[#This Row],[Final]:[re2f]])</f>
        <v>9.5</v>
      </c>
      <c r="X55" s="70">
        <f>IF(Table132[[#This Row],[Total]]&gt;=9.5, 10, ROUND(Table132[[#This Row],[Total]],0))</f>
        <v>10</v>
      </c>
      <c r="Y55" s="34"/>
      <c r="Z55" s="34"/>
      <c r="AA55" s="66"/>
    </row>
    <row r="56" spans="1:27" ht="14.25" customHeight="1">
      <c r="A56" s="32">
        <v>26</v>
      </c>
      <c r="B56" s="32">
        <v>54</v>
      </c>
      <c r="C56" s="40">
        <v>30222</v>
      </c>
      <c r="D56" s="73" t="s">
        <v>122</v>
      </c>
      <c r="E56" s="26" t="s">
        <v>17</v>
      </c>
      <c r="F56" s="27" t="s">
        <v>68</v>
      </c>
      <c r="G56" s="28">
        <v>0.2</v>
      </c>
      <c r="H56" s="28">
        <v>0.12</v>
      </c>
      <c r="I56" s="28" t="s">
        <v>77</v>
      </c>
      <c r="J56" s="28">
        <v>0.32</v>
      </c>
      <c r="K56" s="28">
        <v>0.1</v>
      </c>
      <c r="L56" s="28" t="s">
        <v>68</v>
      </c>
      <c r="M56" s="29">
        <f t="shared" si="0"/>
        <v>0.74</v>
      </c>
      <c r="N56" s="74"/>
      <c r="O56" s="74"/>
      <c r="P56" s="30">
        <v>0.6</v>
      </c>
      <c r="Q56" s="54">
        <v>1.7</v>
      </c>
      <c r="R56" s="30"/>
      <c r="S56" s="30"/>
      <c r="T56" s="55">
        <v>0.3</v>
      </c>
      <c r="U56" s="31"/>
      <c r="V56" s="31"/>
      <c r="W56" s="38">
        <f>Table132[[#This Row],[Suma lab]]+Table132[[#This Row],[Q1]]+Table132[[#This Row],[Q2]]+MAX(Table132[[#This Row],[Partial]:[re2p]])+MAX(Table132[[#This Row],[Final]:[re2f]])</f>
        <v>2.7399999999999998</v>
      </c>
      <c r="X56" s="70">
        <f>IF(Table132[[#This Row],[Total]]&gt;=9.5, 10, ROUND(Table132[[#This Row],[Total]],0))</f>
        <v>3</v>
      </c>
      <c r="Y56" s="28"/>
      <c r="Z56" s="28"/>
      <c r="AA56" s="65"/>
    </row>
    <row r="57" spans="1:27" ht="14.25" customHeight="1">
      <c r="A57" s="26">
        <v>27</v>
      </c>
      <c r="B57" s="32">
        <v>55</v>
      </c>
      <c r="C57" s="40">
        <v>30222</v>
      </c>
      <c r="D57" s="73" t="s">
        <v>123</v>
      </c>
      <c r="E57" s="26" t="s">
        <v>17</v>
      </c>
      <c r="F57" s="27" t="s">
        <v>68</v>
      </c>
      <c r="G57" s="28">
        <v>0.6</v>
      </c>
      <c r="H57" s="28">
        <v>0.6</v>
      </c>
      <c r="I57" s="28">
        <v>0.55000000000000004</v>
      </c>
      <c r="J57" s="28">
        <v>0.25</v>
      </c>
      <c r="K57" s="28">
        <v>0.45</v>
      </c>
      <c r="L57" s="28" t="s">
        <v>68</v>
      </c>
      <c r="M57" s="29">
        <f t="shared" si="0"/>
        <v>2.4500000000000002</v>
      </c>
      <c r="N57" s="74">
        <v>0.2</v>
      </c>
      <c r="O57" s="74"/>
      <c r="P57" s="30">
        <v>1.9</v>
      </c>
      <c r="Q57" s="54">
        <v>1.6</v>
      </c>
      <c r="R57" s="30"/>
      <c r="S57" s="30"/>
      <c r="T57" s="55">
        <v>3.4</v>
      </c>
      <c r="U57" s="31"/>
      <c r="V57" s="31"/>
      <c r="W57" s="38">
        <f>Table132[[#This Row],[Suma lab]]+Table132[[#This Row],[Q1]]+Table132[[#This Row],[Q2]]+MAX(Table132[[#This Row],[Partial]:[re2p]])+MAX(Table132[[#This Row],[Final]:[re2f]])</f>
        <v>7.9500000000000011</v>
      </c>
      <c r="X57" s="70">
        <f>IF(Table132[[#This Row],[Total]]&gt;=9.5, 10, ROUND(Table132[[#This Row],[Total]],0))</f>
        <v>8</v>
      </c>
      <c r="Y57" s="28"/>
      <c r="Z57" s="28"/>
      <c r="AA57" s="65"/>
    </row>
    <row r="58" spans="1:27" ht="14.25" customHeight="1">
      <c r="A58" s="26">
        <v>28</v>
      </c>
      <c r="B58" s="32">
        <v>56</v>
      </c>
      <c r="C58" s="40">
        <v>30222</v>
      </c>
      <c r="D58" s="73" t="s">
        <v>124</v>
      </c>
      <c r="E58" s="26" t="s">
        <v>16</v>
      </c>
      <c r="F58" s="27" t="s">
        <v>68</v>
      </c>
      <c r="G58" s="28">
        <v>0.4</v>
      </c>
      <c r="H58" s="28">
        <v>0.22</v>
      </c>
      <c r="I58" s="28">
        <v>0.12</v>
      </c>
      <c r="J58" s="28">
        <v>0.3</v>
      </c>
      <c r="K58" s="28">
        <v>0.42</v>
      </c>
      <c r="L58" s="34" t="s">
        <v>68</v>
      </c>
      <c r="M58" s="29">
        <f t="shared" si="0"/>
        <v>1.46</v>
      </c>
      <c r="N58" s="74">
        <v>0.25</v>
      </c>
      <c r="O58" s="74"/>
      <c r="P58" s="30">
        <v>1.1000000000000001</v>
      </c>
      <c r="Q58" s="54">
        <v>0</v>
      </c>
      <c r="R58" s="30"/>
      <c r="S58" s="30"/>
      <c r="T58" s="55">
        <v>5.7</v>
      </c>
      <c r="U58" s="31"/>
      <c r="V58" s="31"/>
      <c r="W58" s="38">
        <f>Table132[[#This Row],[Suma lab]]+Table132[[#This Row],[Q1]]+Table132[[#This Row],[Q2]]+MAX(Table132[[#This Row],[Partial]:[re2p]])+MAX(Table132[[#This Row],[Final]:[re2f]])</f>
        <v>8.51</v>
      </c>
      <c r="X58" s="70">
        <f>IF(Table132[[#This Row],[Total]]&gt;=9.5, 10, ROUND(Table132[[#This Row],[Total]],0))</f>
        <v>9</v>
      </c>
      <c r="Y58" s="28"/>
      <c r="Z58" s="28"/>
      <c r="AA58" s="65"/>
    </row>
    <row r="59" spans="1:27" ht="14.25" customHeight="1">
      <c r="A59" s="26">
        <v>29</v>
      </c>
      <c r="B59" s="32">
        <v>57</v>
      </c>
      <c r="C59" s="40">
        <v>30222</v>
      </c>
      <c r="D59" s="73" t="s">
        <v>125</v>
      </c>
      <c r="E59" s="26" t="s">
        <v>17</v>
      </c>
      <c r="F59" s="27" t="s">
        <v>68</v>
      </c>
      <c r="G59" s="28">
        <v>0.3</v>
      </c>
      <c r="H59" s="28">
        <v>0.4</v>
      </c>
      <c r="I59" s="28">
        <v>0.54</v>
      </c>
      <c r="J59" s="28">
        <v>0.52</v>
      </c>
      <c r="K59" s="28">
        <v>0.12</v>
      </c>
      <c r="L59" s="28" t="s">
        <v>68</v>
      </c>
      <c r="M59" s="29">
        <f t="shared" si="0"/>
        <v>1.88</v>
      </c>
      <c r="N59" s="74">
        <v>0.15</v>
      </c>
      <c r="O59" s="74">
        <v>0.5</v>
      </c>
      <c r="P59" s="30">
        <v>2.4</v>
      </c>
      <c r="Q59" s="54"/>
      <c r="R59" s="30"/>
      <c r="S59" s="30"/>
      <c r="T59" s="55">
        <v>3.8</v>
      </c>
      <c r="U59" s="31"/>
      <c r="V59" s="31"/>
      <c r="W59" s="38">
        <f>Table132[[#This Row],[Suma lab]]+Table132[[#This Row],[Q1]]+Table132[[#This Row],[Q2]]+MAX(Table132[[#This Row],[Partial]:[re2p]])+MAX(Table132[[#This Row],[Final]:[re2f]])</f>
        <v>8.73</v>
      </c>
      <c r="X59" s="70">
        <f>IF(Table132[[#This Row],[Total]]&gt;=9.5, 10, ROUND(Table132[[#This Row],[Total]],0))</f>
        <v>9</v>
      </c>
      <c r="Y59" s="28"/>
      <c r="Z59" s="28"/>
      <c r="AA59" s="65"/>
    </row>
    <row r="60" spans="1:27" ht="14.25" customHeight="1">
      <c r="A60" s="26">
        <v>1</v>
      </c>
      <c r="B60" s="32">
        <v>58</v>
      </c>
      <c r="C60" s="41">
        <v>30223</v>
      </c>
      <c r="D60" s="73" t="s">
        <v>126</v>
      </c>
      <c r="E60" s="26" t="s">
        <v>18</v>
      </c>
      <c r="F60" s="27" t="s">
        <v>68</v>
      </c>
      <c r="G60" s="28">
        <v>0.4</v>
      </c>
      <c r="H60" s="28">
        <v>0.45</v>
      </c>
      <c r="I60" s="28">
        <v>0.2</v>
      </c>
      <c r="J60" s="28">
        <v>0.4</v>
      </c>
      <c r="K60" s="28">
        <v>0.3</v>
      </c>
      <c r="L60" s="28" t="s">
        <v>68</v>
      </c>
      <c r="M60" s="29">
        <f t="shared" si="0"/>
        <v>1.7500000000000002</v>
      </c>
      <c r="N60" s="74"/>
      <c r="O60" s="74"/>
      <c r="P60" s="30">
        <v>1.4</v>
      </c>
      <c r="Q60" s="54">
        <v>0.45</v>
      </c>
      <c r="R60" s="30"/>
      <c r="S60" s="30"/>
      <c r="T60" s="55">
        <v>1.65</v>
      </c>
      <c r="U60" s="31"/>
      <c r="V60" s="31"/>
      <c r="W60" s="38">
        <f>Table132[[#This Row],[Suma lab]]+Table132[[#This Row],[Q1]]+Table132[[#This Row],[Q2]]+MAX(Table132[[#This Row],[Partial]:[re2p]])+MAX(Table132[[#This Row],[Final]:[re2f]])</f>
        <v>4.8000000000000007</v>
      </c>
      <c r="X60" s="70">
        <f>IF(Table132[[#This Row],[Total]]&gt;=9.5, 10, ROUND(Table132[[#This Row],[Total]],0))</f>
        <v>5</v>
      </c>
      <c r="Y60" s="28"/>
      <c r="Z60" s="28"/>
      <c r="AA60" s="71"/>
    </row>
    <row r="61" spans="1:27" ht="14.25" customHeight="1">
      <c r="A61" s="26">
        <v>2</v>
      </c>
      <c r="B61" s="32">
        <v>59</v>
      </c>
      <c r="C61" s="41">
        <v>30223</v>
      </c>
      <c r="D61" s="73" t="s">
        <v>127</v>
      </c>
      <c r="E61" s="26" t="s">
        <v>18</v>
      </c>
      <c r="F61" s="27" t="s">
        <v>68</v>
      </c>
      <c r="G61" s="28">
        <v>0.22</v>
      </c>
      <c r="H61" s="28">
        <v>0.5</v>
      </c>
      <c r="I61" s="28">
        <v>0.6</v>
      </c>
      <c r="J61" s="28">
        <v>0.2</v>
      </c>
      <c r="K61" s="28">
        <v>0.25</v>
      </c>
      <c r="L61" s="28" t="s">
        <v>68</v>
      </c>
      <c r="M61" s="29">
        <f t="shared" si="0"/>
        <v>1.7699999999999998</v>
      </c>
      <c r="N61" s="74"/>
      <c r="O61" s="74"/>
      <c r="P61" s="30">
        <v>1.8</v>
      </c>
      <c r="Q61" s="54"/>
      <c r="R61" s="30"/>
      <c r="S61" s="30"/>
      <c r="T61" s="55">
        <v>2.65</v>
      </c>
      <c r="U61" s="31"/>
      <c r="V61" s="31"/>
      <c r="W61" s="38">
        <f>Table132[[#This Row],[Suma lab]]+Table132[[#This Row],[Q1]]+Table132[[#This Row],[Q2]]+MAX(Table132[[#This Row],[Partial]:[re2p]])+MAX(Table132[[#This Row],[Final]:[re2f]])</f>
        <v>6.22</v>
      </c>
      <c r="X61" s="70">
        <f>IF(Table132[[#This Row],[Total]]&gt;=9.5, 10, ROUND(Table132[[#This Row],[Total]],0))</f>
        <v>6</v>
      </c>
      <c r="Y61" s="28"/>
      <c r="Z61" s="28"/>
      <c r="AA61" s="71"/>
    </row>
    <row r="62" spans="1:27" ht="14.25" customHeight="1">
      <c r="A62" s="26">
        <v>3</v>
      </c>
      <c r="B62" s="32">
        <v>60</v>
      </c>
      <c r="C62" s="41">
        <v>30223</v>
      </c>
      <c r="D62" s="73" t="s">
        <v>128</v>
      </c>
      <c r="E62" s="26" t="s">
        <v>18</v>
      </c>
      <c r="F62" s="27" t="s">
        <v>68</v>
      </c>
      <c r="G62" s="28">
        <v>0.2</v>
      </c>
      <c r="H62" s="28">
        <v>0.4</v>
      </c>
      <c r="I62" s="28">
        <v>0.55000000000000004</v>
      </c>
      <c r="J62" s="28">
        <v>0.2</v>
      </c>
      <c r="K62" s="28">
        <v>0.3</v>
      </c>
      <c r="L62" s="28" t="s">
        <v>68</v>
      </c>
      <c r="M62" s="29">
        <f t="shared" si="0"/>
        <v>1.6500000000000001</v>
      </c>
      <c r="N62" s="74">
        <v>0.5</v>
      </c>
      <c r="O62" s="74">
        <v>0.5</v>
      </c>
      <c r="P62" s="30">
        <v>2.2000000000000002</v>
      </c>
      <c r="Q62" s="54"/>
      <c r="R62" s="30"/>
      <c r="S62" s="30"/>
      <c r="T62" s="55">
        <v>3.4</v>
      </c>
      <c r="U62" s="31"/>
      <c r="V62" s="31"/>
      <c r="W62" s="38">
        <f>Table132[[#This Row],[Suma lab]]+Table132[[#This Row],[Q1]]+Table132[[#This Row],[Q2]]+MAX(Table132[[#This Row],[Partial]:[re2p]])+MAX(Table132[[#This Row],[Final]:[re2f]])</f>
        <v>8.25</v>
      </c>
      <c r="X62" s="70">
        <f>IF(Table132[[#This Row],[Total]]&gt;=9.5, 10, ROUND(Table132[[#This Row],[Total]],0))</f>
        <v>8</v>
      </c>
      <c r="Y62" s="28"/>
      <c r="Z62" s="28"/>
      <c r="AA62" s="71"/>
    </row>
    <row r="63" spans="1:27" ht="14.25" customHeight="1">
      <c r="A63" s="26">
        <v>4</v>
      </c>
      <c r="B63" s="32">
        <v>61</v>
      </c>
      <c r="C63" s="41">
        <v>30223</v>
      </c>
      <c r="D63" s="73" t="s">
        <v>129</v>
      </c>
      <c r="E63" s="26" t="s">
        <v>18</v>
      </c>
      <c r="F63" s="27" t="s">
        <v>68</v>
      </c>
      <c r="G63" s="28">
        <v>0.05</v>
      </c>
      <c r="H63" s="28">
        <v>0.4</v>
      </c>
      <c r="I63" s="28">
        <v>0.35</v>
      </c>
      <c r="J63" s="28">
        <v>0.3</v>
      </c>
      <c r="K63" s="28">
        <v>0</v>
      </c>
      <c r="L63" s="28" t="s">
        <v>68</v>
      </c>
      <c r="M63" s="29">
        <f t="shared" si="0"/>
        <v>1.1000000000000001</v>
      </c>
      <c r="N63" s="74"/>
      <c r="O63" s="74"/>
      <c r="P63" s="30">
        <v>0.8</v>
      </c>
      <c r="Q63" s="54"/>
      <c r="R63" s="30"/>
      <c r="S63" s="30"/>
      <c r="T63" s="55">
        <v>4.4000000000000004</v>
      </c>
      <c r="U63" s="31"/>
      <c r="V63" s="31"/>
      <c r="W63" s="38">
        <f>Table132[[#This Row],[Suma lab]]+Table132[[#This Row],[Q1]]+Table132[[#This Row],[Q2]]+MAX(Table132[[#This Row],[Partial]:[re2p]])+MAX(Table132[[#This Row],[Final]:[re2f]])</f>
        <v>6.3000000000000007</v>
      </c>
      <c r="X63" s="70">
        <f>IF(Table132[[#This Row],[Total]]&gt;=9.5, 10, ROUND(Table132[[#This Row],[Total]],0))</f>
        <v>6</v>
      </c>
      <c r="Y63" s="28"/>
      <c r="Z63" s="28"/>
      <c r="AA63" s="65"/>
    </row>
    <row r="64" spans="1:27" ht="14.25" customHeight="1">
      <c r="A64" s="26">
        <v>5</v>
      </c>
      <c r="B64" s="32">
        <v>62</v>
      </c>
      <c r="C64" s="41">
        <v>30223</v>
      </c>
      <c r="D64" s="73" t="s">
        <v>130</v>
      </c>
      <c r="E64" s="26" t="s">
        <v>18</v>
      </c>
      <c r="F64" s="27" t="s">
        <v>68</v>
      </c>
      <c r="G64" s="28">
        <v>0.05</v>
      </c>
      <c r="H64" s="28">
        <v>0.3</v>
      </c>
      <c r="I64" s="28">
        <v>0.22</v>
      </c>
      <c r="J64" s="28">
        <v>0.2</v>
      </c>
      <c r="K64" s="28">
        <v>0.25</v>
      </c>
      <c r="L64" s="28" t="s">
        <v>68</v>
      </c>
      <c r="M64" s="29">
        <f t="shared" si="0"/>
        <v>1.02</v>
      </c>
      <c r="N64" s="74"/>
      <c r="O64" s="74"/>
      <c r="P64" s="30">
        <v>0.6</v>
      </c>
      <c r="Q64" s="54"/>
      <c r="R64" s="30"/>
      <c r="S64" s="30"/>
      <c r="T64" s="55">
        <v>2.4</v>
      </c>
      <c r="U64" s="31"/>
      <c r="V64" s="31"/>
      <c r="W64" s="38">
        <f>Table132[[#This Row],[Suma lab]]+Table132[[#This Row],[Q1]]+Table132[[#This Row],[Q2]]+MAX(Table132[[#This Row],[Partial]:[re2p]])+MAX(Table132[[#This Row],[Final]:[re2f]])</f>
        <v>4.0199999999999996</v>
      </c>
      <c r="X64" s="70">
        <f>IF(Table132[[#This Row],[Total]]&gt;=9.5, 10, ROUND(Table132[[#This Row],[Total]],0))</f>
        <v>4</v>
      </c>
      <c r="Y64" s="28"/>
      <c r="Z64" s="28"/>
      <c r="AA64" s="65"/>
    </row>
    <row r="65" spans="1:27" ht="14.25" customHeight="1">
      <c r="A65" s="26">
        <v>6</v>
      </c>
      <c r="B65" s="32">
        <v>63</v>
      </c>
      <c r="C65" s="41">
        <v>30223</v>
      </c>
      <c r="D65" s="73" t="s">
        <v>131</v>
      </c>
      <c r="E65" s="26" t="s">
        <v>18</v>
      </c>
      <c r="F65" s="27" t="s">
        <v>68</v>
      </c>
      <c r="G65" s="28">
        <v>0</v>
      </c>
      <c r="H65" s="28">
        <v>0.6</v>
      </c>
      <c r="I65" s="28">
        <v>0.22</v>
      </c>
      <c r="J65" s="28">
        <v>0.1</v>
      </c>
      <c r="K65" s="28" t="s">
        <v>77</v>
      </c>
      <c r="L65" s="28" t="s">
        <v>68</v>
      </c>
      <c r="M65" s="29">
        <f t="shared" si="0"/>
        <v>0.91999999999999993</v>
      </c>
      <c r="N65" s="74"/>
      <c r="O65" s="74"/>
      <c r="P65" s="30">
        <v>0.55000000000000004</v>
      </c>
      <c r="Q65" s="54">
        <v>0.7</v>
      </c>
      <c r="R65" s="30"/>
      <c r="S65" s="30"/>
      <c r="T65" s="55">
        <v>3.6</v>
      </c>
      <c r="U65" s="31"/>
      <c r="V65" s="31"/>
      <c r="W65" s="38">
        <f>Table132[[#This Row],[Suma lab]]+Table132[[#This Row],[Q1]]+Table132[[#This Row],[Q2]]+MAX(Table132[[#This Row],[Partial]:[re2p]])+MAX(Table132[[#This Row],[Final]:[re2f]])</f>
        <v>5.22</v>
      </c>
      <c r="X65" s="70">
        <f>IF(Table132[[#This Row],[Total]]&gt;=9.5, 10, ROUND(Table132[[#This Row],[Total]],0))</f>
        <v>5</v>
      </c>
      <c r="Y65" s="28"/>
      <c r="Z65" s="28"/>
      <c r="AA65" s="65"/>
    </row>
    <row r="66" spans="1:27" ht="14.25" customHeight="1">
      <c r="A66" s="26">
        <v>7</v>
      </c>
      <c r="B66" s="32">
        <v>64</v>
      </c>
      <c r="C66" s="41">
        <v>30223</v>
      </c>
      <c r="D66" s="73" t="s">
        <v>132</v>
      </c>
      <c r="E66" s="26" t="s">
        <v>18</v>
      </c>
      <c r="F66" s="27" t="s">
        <v>68</v>
      </c>
      <c r="G66" s="28">
        <v>0.1</v>
      </c>
      <c r="H66" s="28">
        <v>0</v>
      </c>
      <c r="I66" s="28">
        <v>0.3</v>
      </c>
      <c r="J66" s="28">
        <v>0.2</v>
      </c>
      <c r="K66" s="28">
        <v>0.1</v>
      </c>
      <c r="L66" s="28" t="s">
        <v>68</v>
      </c>
      <c r="M66" s="29">
        <f t="shared" si="0"/>
        <v>0.70000000000000007</v>
      </c>
      <c r="N66" s="74"/>
      <c r="O66" s="74"/>
      <c r="P66" s="30">
        <v>0.6</v>
      </c>
      <c r="Q66" s="54">
        <v>0</v>
      </c>
      <c r="R66" s="30"/>
      <c r="S66" s="30"/>
      <c r="T66" s="55">
        <v>2.2000000000000002</v>
      </c>
      <c r="U66" s="31"/>
      <c r="V66" s="31"/>
      <c r="W66" s="38">
        <f>Table132[[#This Row],[Suma lab]]+Table132[[#This Row],[Q1]]+Table132[[#This Row],[Q2]]+MAX(Table132[[#This Row],[Partial]:[re2p]])+MAX(Table132[[#This Row],[Final]:[re2f]])</f>
        <v>3.5</v>
      </c>
      <c r="X66" s="70">
        <f>IF(Table132[[#This Row],[Total]]&gt;=9.5, 10, ROUND(Table132[[#This Row],[Total]],0))</f>
        <v>4</v>
      </c>
      <c r="Y66" s="28"/>
      <c r="Z66" s="28"/>
      <c r="AA66" s="65"/>
    </row>
    <row r="67" spans="1:27" ht="14.25" customHeight="1">
      <c r="A67" s="26">
        <v>8</v>
      </c>
      <c r="B67" s="32">
        <v>65</v>
      </c>
      <c r="C67" s="41">
        <v>30223</v>
      </c>
      <c r="D67" s="73" t="s">
        <v>133</v>
      </c>
      <c r="E67" s="26" t="s">
        <v>18</v>
      </c>
      <c r="F67" s="27" t="s">
        <v>68</v>
      </c>
      <c r="G67" s="28">
        <v>0.6</v>
      </c>
      <c r="H67" s="28">
        <v>0.32</v>
      </c>
      <c r="I67" s="28">
        <v>0.6</v>
      </c>
      <c r="J67" s="28" t="s">
        <v>77</v>
      </c>
      <c r="K67" s="28">
        <v>0.4</v>
      </c>
      <c r="L67" s="28" t="s">
        <v>68</v>
      </c>
      <c r="M67" s="29">
        <f t="shared" ref="M67:M130" si="1">SUM(G67:K67)</f>
        <v>1.92</v>
      </c>
      <c r="N67" s="74"/>
      <c r="O67" s="74"/>
      <c r="P67" s="30">
        <v>2.4</v>
      </c>
      <c r="Q67" s="54"/>
      <c r="R67" s="30"/>
      <c r="S67" s="30"/>
      <c r="T67" s="55">
        <v>5.6</v>
      </c>
      <c r="U67" s="31"/>
      <c r="V67" s="31"/>
      <c r="W67" s="38">
        <f>Table132[[#This Row],[Suma lab]]+Table132[[#This Row],[Q1]]+Table132[[#This Row],[Q2]]+MAX(Table132[[#This Row],[Partial]:[re2p]])+MAX(Table132[[#This Row],[Final]:[re2f]])</f>
        <v>9.92</v>
      </c>
      <c r="X67" s="70">
        <f>IF(Table132[[#This Row],[Total]]&gt;=9.5, 10, ROUND(Table132[[#This Row],[Total]],0))</f>
        <v>10</v>
      </c>
      <c r="Y67" s="28"/>
      <c r="Z67" s="28"/>
      <c r="AA67" s="65"/>
    </row>
    <row r="68" spans="1:27" ht="14.25" customHeight="1">
      <c r="A68" s="26">
        <v>9</v>
      </c>
      <c r="B68" s="32">
        <v>66</v>
      </c>
      <c r="C68" s="41">
        <v>30223</v>
      </c>
      <c r="D68" s="73" t="s">
        <v>134</v>
      </c>
      <c r="E68" s="26" t="s">
        <v>18</v>
      </c>
      <c r="F68" s="27" t="s">
        <v>68</v>
      </c>
      <c r="G68" s="28">
        <v>0.6</v>
      </c>
      <c r="H68" s="28">
        <v>0.6</v>
      </c>
      <c r="I68" s="28">
        <v>0.6</v>
      </c>
      <c r="J68" s="28">
        <v>0.55000000000000004</v>
      </c>
      <c r="K68" s="28">
        <v>0.45</v>
      </c>
      <c r="L68" s="28" t="s">
        <v>68</v>
      </c>
      <c r="M68" s="29">
        <f t="shared" si="1"/>
        <v>2.8</v>
      </c>
      <c r="N68" s="74">
        <v>0.3</v>
      </c>
      <c r="O68" s="74">
        <v>0.5</v>
      </c>
      <c r="P68" s="30">
        <v>2.2999999999999998</v>
      </c>
      <c r="Q68" s="54">
        <v>0</v>
      </c>
      <c r="R68" s="30"/>
      <c r="S68" s="30"/>
      <c r="T68" s="55">
        <v>4.8499999999999996</v>
      </c>
      <c r="U68" s="31"/>
      <c r="V68" s="31"/>
      <c r="W68" s="38">
        <f>Table132[[#This Row],[Suma lab]]+Table132[[#This Row],[Q1]]+Table132[[#This Row],[Q2]]+MAX(Table132[[#This Row],[Partial]:[re2p]])+MAX(Table132[[#This Row],[Final]:[re2f]])</f>
        <v>10.75</v>
      </c>
      <c r="X68" s="70">
        <f>IF(Table132[[#This Row],[Total]]&gt;=9.5, 10, ROUND(Table132[[#This Row],[Total]],0))</f>
        <v>10</v>
      </c>
      <c r="Y68" s="28"/>
      <c r="Z68" s="28"/>
      <c r="AA68" s="65"/>
    </row>
    <row r="69" spans="1:27" ht="14.25" customHeight="1">
      <c r="A69" s="26">
        <v>10</v>
      </c>
      <c r="B69" s="32">
        <v>67</v>
      </c>
      <c r="C69" s="41">
        <v>30223</v>
      </c>
      <c r="D69" s="73" t="s">
        <v>135</v>
      </c>
      <c r="E69" s="26" t="s">
        <v>18</v>
      </c>
      <c r="F69" s="27" t="s">
        <v>68</v>
      </c>
      <c r="G69" s="28">
        <v>0.22</v>
      </c>
      <c r="H69" s="28" t="s">
        <v>77</v>
      </c>
      <c r="I69" s="28">
        <v>0.42</v>
      </c>
      <c r="J69" s="28">
        <v>0.1</v>
      </c>
      <c r="K69" s="28">
        <v>0.1</v>
      </c>
      <c r="L69" s="28" t="s">
        <v>68</v>
      </c>
      <c r="M69" s="29">
        <f t="shared" si="1"/>
        <v>0.84</v>
      </c>
      <c r="N69" s="74"/>
      <c r="O69" s="74"/>
      <c r="P69" s="30">
        <v>1.5</v>
      </c>
      <c r="Q69" s="54"/>
      <c r="R69" s="30"/>
      <c r="S69" s="30"/>
      <c r="T69" s="55">
        <v>2.8</v>
      </c>
      <c r="U69" s="31"/>
      <c r="V69" s="31"/>
      <c r="W69" s="38">
        <f>Table132[[#This Row],[Suma lab]]+Table132[[#This Row],[Q1]]+Table132[[#This Row],[Q2]]+MAX(Table132[[#This Row],[Partial]:[re2p]])+MAX(Table132[[#This Row],[Final]:[re2f]])</f>
        <v>5.14</v>
      </c>
      <c r="X69" s="70">
        <f>IF(Table132[[#This Row],[Total]]&gt;=9.5, 10, ROUND(Table132[[#This Row],[Total]],0))</f>
        <v>5</v>
      </c>
      <c r="Y69" s="28"/>
      <c r="Z69" s="28"/>
      <c r="AA69" s="65"/>
    </row>
    <row r="70" spans="1:27" ht="14.25" customHeight="1">
      <c r="A70" s="26">
        <v>11</v>
      </c>
      <c r="B70" s="32">
        <v>68</v>
      </c>
      <c r="C70" s="41">
        <v>30223</v>
      </c>
      <c r="D70" s="73" t="s">
        <v>136</v>
      </c>
      <c r="E70" s="26" t="s">
        <v>18</v>
      </c>
      <c r="F70" s="27" t="s">
        <v>68</v>
      </c>
      <c r="G70" s="28">
        <v>0.6</v>
      </c>
      <c r="H70" s="28">
        <v>0.4</v>
      </c>
      <c r="I70" s="28">
        <v>0.6</v>
      </c>
      <c r="J70" s="28">
        <v>0.5</v>
      </c>
      <c r="K70" s="28">
        <v>0.15</v>
      </c>
      <c r="L70" s="28" t="s">
        <v>68</v>
      </c>
      <c r="M70" s="29">
        <f t="shared" si="1"/>
        <v>2.25</v>
      </c>
      <c r="N70" s="74"/>
      <c r="O70" s="74"/>
      <c r="P70" s="30">
        <v>2.4</v>
      </c>
      <c r="Q70" s="54">
        <v>0</v>
      </c>
      <c r="R70" s="30"/>
      <c r="S70" s="30"/>
      <c r="T70" s="55">
        <v>5</v>
      </c>
      <c r="U70" s="31"/>
      <c r="V70" s="31"/>
      <c r="W70" s="38">
        <f>Table132[[#This Row],[Suma lab]]+Table132[[#This Row],[Q1]]+Table132[[#This Row],[Q2]]+MAX(Table132[[#This Row],[Partial]:[re2p]])+MAX(Table132[[#This Row],[Final]:[re2f]])</f>
        <v>9.65</v>
      </c>
      <c r="X70" s="70">
        <f>IF(Table132[[#This Row],[Total]]&gt;=9.5, 10, ROUND(Table132[[#This Row],[Total]],0))</f>
        <v>10</v>
      </c>
      <c r="Y70" s="28"/>
      <c r="Z70" s="28"/>
      <c r="AA70" s="65"/>
    </row>
    <row r="71" spans="1:27" ht="14.25" customHeight="1">
      <c r="A71" s="26">
        <v>12</v>
      </c>
      <c r="B71" s="32">
        <v>69</v>
      </c>
      <c r="C71" s="41">
        <v>30223</v>
      </c>
      <c r="D71" s="73" t="s">
        <v>137</v>
      </c>
      <c r="E71" s="26" t="s">
        <v>18</v>
      </c>
      <c r="F71" s="27" t="s">
        <v>68</v>
      </c>
      <c r="G71" s="28">
        <v>0.5</v>
      </c>
      <c r="H71" s="28">
        <v>0.42</v>
      </c>
      <c r="I71" s="28">
        <v>0.3</v>
      </c>
      <c r="J71" s="28">
        <v>0.3</v>
      </c>
      <c r="K71" s="28">
        <v>0.4</v>
      </c>
      <c r="L71" s="28" t="s">
        <v>68</v>
      </c>
      <c r="M71" s="29">
        <f t="shared" si="1"/>
        <v>1.92</v>
      </c>
      <c r="N71" s="74"/>
      <c r="O71" s="74"/>
      <c r="P71" s="30">
        <v>1.2</v>
      </c>
      <c r="Q71" s="54">
        <v>0</v>
      </c>
      <c r="R71" s="30"/>
      <c r="S71" s="30"/>
      <c r="T71" s="55">
        <v>3.8</v>
      </c>
      <c r="U71" s="31"/>
      <c r="V71" s="31"/>
      <c r="W71" s="38">
        <f>Table132[[#This Row],[Suma lab]]+Table132[[#This Row],[Q1]]+Table132[[#This Row],[Q2]]+MAX(Table132[[#This Row],[Partial]:[re2p]])+MAX(Table132[[#This Row],[Final]:[re2f]])</f>
        <v>6.92</v>
      </c>
      <c r="X71" s="70">
        <f>IF(Table132[[#This Row],[Total]]&gt;=9.5, 10, ROUND(Table132[[#This Row],[Total]],0))</f>
        <v>7</v>
      </c>
      <c r="Y71" s="28"/>
      <c r="Z71" s="28"/>
      <c r="AA71" s="65"/>
    </row>
    <row r="72" spans="1:27" ht="14.25" customHeight="1">
      <c r="A72" s="26">
        <v>13</v>
      </c>
      <c r="B72" s="32">
        <v>70</v>
      </c>
      <c r="C72" s="41">
        <v>30223</v>
      </c>
      <c r="D72" s="73" t="s">
        <v>138</v>
      </c>
      <c r="E72" s="26" t="s">
        <v>18</v>
      </c>
      <c r="F72" s="27" t="s">
        <v>68</v>
      </c>
      <c r="G72" s="28">
        <v>0.5</v>
      </c>
      <c r="H72" s="28">
        <v>0.2</v>
      </c>
      <c r="I72" s="28">
        <v>0.12</v>
      </c>
      <c r="J72" s="28">
        <v>0.2</v>
      </c>
      <c r="K72" s="28">
        <v>0.1</v>
      </c>
      <c r="L72" s="28" t="s">
        <v>68</v>
      </c>
      <c r="M72" s="29">
        <f t="shared" si="1"/>
        <v>1.1200000000000001</v>
      </c>
      <c r="N72" s="74"/>
      <c r="O72" s="74"/>
      <c r="P72" s="30">
        <v>1.8</v>
      </c>
      <c r="Q72" s="54">
        <v>0</v>
      </c>
      <c r="R72" s="30"/>
      <c r="S72" s="30"/>
      <c r="T72" s="55">
        <v>3.7</v>
      </c>
      <c r="U72" s="31"/>
      <c r="V72" s="31"/>
      <c r="W72" s="38">
        <f>Table132[[#This Row],[Suma lab]]+Table132[[#This Row],[Q1]]+Table132[[#This Row],[Q2]]+MAX(Table132[[#This Row],[Partial]:[re2p]])+MAX(Table132[[#This Row],[Final]:[re2f]])</f>
        <v>6.62</v>
      </c>
      <c r="X72" s="70">
        <f>IF(Table132[[#This Row],[Total]]&gt;=9.5, 10, ROUND(Table132[[#This Row],[Total]],0))</f>
        <v>7</v>
      </c>
      <c r="Y72" s="28"/>
      <c r="Z72" s="28"/>
      <c r="AA72" s="65"/>
    </row>
    <row r="73" spans="1:27" ht="14.25" customHeight="1">
      <c r="A73" s="26">
        <v>14</v>
      </c>
      <c r="B73" s="32">
        <v>71</v>
      </c>
      <c r="C73" s="41">
        <v>30223</v>
      </c>
      <c r="D73" s="73" t="s">
        <v>139</v>
      </c>
      <c r="E73" s="26" t="s">
        <v>18</v>
      </c>
      <c r="F73" s="27" t="s">
        <v>68</v>
      </c>
      <c r="G73" s="28">
        <v>0.4</v>
      </c>
      <c r="H73" s="28">
        <v>0.4</v>
      </c>
      <c r="I73" s="28">
        <v>0.6</v>
      </c>
      <c r="J73" s="28">
        <v>0.45</v>
      </c>
      <c r="K73" s="28">
        <v>0.25</v>
      </c>
      <c r="L73" s="28" t="s">
        <v>68</v>
      </c>
      <c r="M73" s="29">
        <f t="shared" si="1"/>
        <v>2.0999999999999996</v>
      </c>
      <c r="N73" s="74"/>
      <c r="O73" s="74"/>
      <c r="P73" s="30">
        <v>1.9</v>
      </c>
      <c r="Q73" s="54">
        <v>0</v>
      </c>
      <c r="R73" s="30"/>
      <c r="S73" s="30"/>
      <c r="T73" s="55">
        <v>2.9</v>
      </c>
      <c r="U73" s="31"/>
      <c r="V73" s="31"/>
      <c r="W73" s="38">
        <f>Table132[[#This Row],[Suma lab]]+Table132[[#This Row],[Q1]]+Table132[[#This Row],[Q2]]+MAX(Table132[[#This Row],[Partial]:[re2p]])+MAX(Table132[[#This Row],[Final]:[re2f]])</f>
        <v>6.8999999999999995</v>
      </c>
      <c r="X73" s="70">
        <f>IF(Table132[[#This Row],[Total]]&gt;=9.5, 10, ROUND(Table132[[#This Row],[Total]],0))</f>
        <v>7</v>
      </c>
      <c r="Y73" s="28"/>
      <c r="Z73" s="28"/>
      <c r="AA73" s="65"/>
    </row>
    <row r="74" spans="1:27" ht="14.25" customHeight="1">
      <c r="A74" s="26">
        <v>15</v>
      </c>
      <c r="B74" s="32">
        <v>72</v>
      </c>
      <c r="C74" s="41">
        <v>30223</v>
      </c>
      <c r="D74" s="73" t="s">
        <v>140</v>
      </c>
      <c r="E74" s="26" t="s">
        <v>19</v>
      </c>
      <c r="F74" s="27" t="s">
        <v>68</v>
      </c>
      <c r="G74" s="28">
        <v>0.3</v>
      </c>
      <c r="H74" s="28">
        <v>0.3</v>
      </c>
      <c r="I74" s="28">
        <v>0.05</v>
      </c>
      <c r="J74" s="28">
        <v>0.12</v>
      </c>
      <c r="K74" s="28">
        <v>0.12</v>
      </c>
      <c r="L74" s="28" t="s">
        <v>68</v>
      </c>
      <c r="M74" s="29">
        <f t="shared" si="1"/>
        <v>0.89</v>
      </c>
      <c r="N74" s="74">
        <v>0.2</v>
      </c>
      <c r="O74" s="74"/>
      <c r="P74" s="30">
        <v>1.5</v>
      </c>
      <c r="Q74" s="54">
        <v>2.1</v>
      </c>
      <c r="R74" s="30"/>
      <c r="S74" s="30"/>
      <c r="T74" s="55">
        <v>3</v>
      </c>
      <c r="U74" s="31"/>
      <c r="V74" s="31"/>
      <c r="W74" s="38">
        <f>Table132[[#This Row],[Suma lab]]+Table132[[#This Row],[Q1]]+Table132[[#This Row],[Q2]]+MAX(Table132[[#This Row],[Partial]:[re2p]])+MAX(Table132[[#This Row],[Final]:[re2f]])</f>
        <v>6.19</v>
      </c>
      <c r="X74" s="70">
        <f>IF(Table132[[#This Row],[Total]]&gt;=9.5, 10, ROUND(Table132[[#This Row],[Total]],0))</f>
        <v>6</v>
      </c>
      <c r="Y74" s="28"/>
      <c r="Z74" s="28"/>
      <c r="AA74" s="65"/>
    </row>
    <row r="75" spans="1:27" ht="14.25" customHeight="1">
      <c r="A75" s="26">
        <v>16</v>
      </c>
      <c r="B75" s="32">
        <v>73</v>
      </c>
      <c r="C75" s="41">
        <v>30223</v>
      </c>
      <c r="D75" s="73" t="s">
        <v>141</v>
      </c>
      <c r="E75" s="26" t="s">
        <v>19</v>
      </c>
      <c r="F75" s="27" t="s">
        <v>68</v>
      </c>
      <c r="G75" s="28">
        <v>0.3</v>
      </c>
      <c r="H75" s="28">
        <v>0.4</v>
      </c>
      <c r="I75" s="28">
        <v>0.12</v>
      </c>
      <c r="J75" s="28">
        <v>0.3</v>
      </c>
      <c r="K75" s="28">
        <v>0.25</v>
      </c>
      <c r="L75" s="28" t="s">
        <v>68</v>
      </c>
      <c r="M75" s="29">
        <f t="shared" si="1"/>
        <v>1.3699999999999999</v>
      </c>
      <c r="N75" s="74">
        <v>0.3</v>
      </c>
      <c r="O75" s="74"/>
      <c r="P75" s="30">
        <v>1.1000000000000001</v>
      </c>
      <c r="Q75" s="54">
        <v>0</v>
      </c>
      <c r="R75" s="30"/>
      <c r="S75" s="30"/>
      <c r="T75" s="55">
        <v>5</v>
      </c>
      <c r="U75" s="31"/>
      <c r="V75" s="31"/>
      <c r="W75" s="38">
        <f>Table132[[#This Row],[Suma lab]]+Table132[[#This Row],[Q1]]+Table132[[#This Row],[Q2]]+MAX(Table132[[#This Row],[Partial]:[re2p]])+MAX(Table132[[#This Row],[Final]:[re2f]])</f>
        <v>7.77</v>
      </c>
      <c r="X75" s="70">
        <f>IF(Table132[[#This Row],[Total]]&gt;=9.5, 10, ROUND(Table132[[#This Row],[Total]],0))</f>
        <v>8</v>
      </c>
      <c r="Y75" s="28"/>
      <c r="Z75" s="28"/>
      <c r="AA75" s="65"/>
    </row>
    <row r="76" spans="1:27" ht="14.25" customHeight="1">
      <c r="A76" s="26">
        <v>17</v>
      </c>
      <c r="B76" s="32">
        <v>74</v>
      </c>
      <c r="C76" s="41">
        <v>30223</v>
      </c>
      <c r="D76" s="73" t="s">
        <v>142</v>
      </c>
      <c r="E76" s="26" t="s">
        <v>18</v>
      </c>
      <c r="F76" s="27" t="s">
        <v>68</v>
      </c>
      <c r="G76" s="28">
        <v>0.4</v>
      </c>
      <c r="H76" s="28" t="s">
        <v>77</v>
      </c>
      <c r="I76" s="28">
        <v>0.1</v>
      </c>
      <c r="J76" s="28">
        <v>0.2</v>
      </c>
      <c r="K76" s="28">
        <v>0.1</v>
      </c>
      <c r="L76" s="28" t="s">
        <v>68</v>
      </c>
      <c r="M76" s="29">
        <f t="shared" si="1"/>
        <v>0.79999999999999993</v>
      </c>
      <c r="N76" s="74"/>
      <c r="O76" s="74"/>
      <c r="P76" s="30">
        <v>1.8</v>
      </c>
      <c r="Q76" s="54">
        <v>0</v>
      </c>
      <c r="R76" s="30"/>
      <c r="S76" s="30"/>
      <c r="T76" s="55">
        <v>2</v>
      </c>
      <c r="U76" s="31"/>
      <c r="V76" s="31"/>
      <c r="W76" s="38">
        <f>Table132[[#This Row],[Suma lab]]+Table132[[#This Row],[Q1]]+Table132[[#This Row],[Q2]]+MAX(Table132[[#This Row],[Partial]:[re2p]])+MAX(Table132[[#This Row],[Final]:[re2f]])</f>
        <v>4.5999999999999996</v>
      </c>
      <c r="X76" s="70">
        <f>IF(Table132[[#This Row],[Total]]&gt;=9.5, 10, ROUND(Table132[[#This Row],[Total]],0))</f>
        <v>5</v>
      </c>
      <c r="Y76" s="28"/>
      <c r="Z76" s="28"/>
      <c r="AA76" s="65"/>
    </row>
    <row r="77" spans="1:27" ht="14.25" customHeight="1">
      <c r="A77" s="26">
        <v>18</v>
      </c>
      <c r="B77" s="32">
        <v>75</v>
      </c>
      <c r="C77" s="41">
        <v>30223</v>
      </c>
      <c r="D77" s="73" t="s">
        <v>143</v>
      </c>
      <c r="E77" s="26" t="s">
        <v>19</v>
      </c>
      <c r="F77" s="27" t="s">
        <v>68</v>
      </c>
      <c r="G77" s="28">
        <v>0.6</v>
      </c>
      <c r="H77" s="28">
        <v>0.3</v>
      </c>
      <c r="I77" s="28">
        <v>0.32</v>
      </c>
      <c r="J77" s="28">
        <v>0.4</v>
      </c>
      <c r="K77" s="28">
        <v>0.4</v>
      </c>
      <c r="L77" s="28" t="s">
        <v>68</v>
      </c>
      <c r="M77" s="29">
        <f t="shared" si="1"/>
        <v>2.02</v>
      </c>
      <c r="N77" s="74">
        <v>0.3</v>
      </c>
      <c r="O77" s="74"/>
      <c r="P77" s="30">
        <v>2.4500000000000002</v>
      </c>
      <c r="Q77" s="54">
        <v>0</v>
      </c>
      <c r="R77" s="30"/>
      <c r="S77" s="30"/>
      <c r="T77" s="55">
        <v>5.8</v>
      </c>
      <c r="U77" s="31"/>
      <c r="V77" s="31"/>
      <c r="W77" s="38">
        <f>Table132[[#This Row],[Suma lab]]+Table132[[#This Row],[Q1]]+Table132[[#This Row],[Q2]]+MAX(Table132[[#This Row],[Partial]:[re2p]])+MAX(Table132[[#This Row],[Final]:[re2f]])</f>
        <v>10.57</v>
      </c>
      <c r="X77" s="70">
        <f>IF(Table132[[#This Row],[Total]]&gt;=9.5, 10, ROUND(Table132[[#This Row],[Total]],0))</f>
        <v>10</v>
      </c>
      <c r="Y77" s="28"/>
      <c r="Z77" s="28"/>
      <c r="AA77" s="65"/>
    </row>
    <row r="78" spans="1:27" ht="14.25" customHeight="1">
      <c r="A78" s="26">
        <v>19</v>
      </c>
      <c r="B78" s="32">
        <v>76</v>
      </c>
      <c r="C78" s="41">
        <v>30223</v>
      </c>
      <c r="D78" s="73" t="s">
        <v>144</v>
      </c>
      <c r="E78" s="26" t="s">
        <v>19</v>
      </c>
      <c r="F78" s="27" t="s">
        <v>68</v>
      </c>
      <c r="G78" s="28">
        <v>0.6</v>
      </c>
      <c r="H78" s="28">
        <v>0.6</v>
      </c>
      <c r="I78" s="28">
        <v>0.6</v>
      </c>
      <c r="J78" s="28">
        <v>0.52</v>
      </c>
      <c r="K78" s="28">
        <v>0.45</v>
      </c>
      <c r="L78" s="28" t="s">
        <v>68</v>
      </c>
      <c r="M78" s="29">
        <f t="shared" si="1"/>
        <v>2.77</v>
      </c>
      <c r="N78" s="74">
        <v>0.25</v>
      </c>
      <c r="O78" s="74">
        <v>0.5</v>
      </c>
      <c r="P78" s="30">
        <v>1.3</v>
      </c>
      <c r="Q78" s="54">
        <v>3.2</v>
      </c>
      <c r="R78" s="30"/>
      <c r="S78" s="30"/>
      <c r="T78" s="55">
        <v>4.0999999999999996</v>
      </c>
      <c r="U78" s="31"/>
      <c r="V78" s="31"/>
      <c r="W78" s="38">
        <f>Table132[[#This Row],[Suma lab]]+Table132[[#This Row],[Q1]]+Table132[[#This Row],[Q2]]+MAX(Table132[[#This Row],[Partial]:[re2p]])+MAX(Table132[[#This Row],[Final]:[re2f]])</f>
        <v>10.82</v>
      </c>
      <c r="X78" s="70">
        <f>IF(Table132[[#This Row],[Total]]&gt;=9.5, 10, ROUND(Table132[[#This Row],[Total]],0))</f>
        <v>10</v>
      </c>
      <c r="Y78" s="28"/>
      <c r="Z78" s="28"/>
      <c r="AA78" s="65"/>
    </row>
    <row r="79" spans="1:27" ht="14.25" customHeight="1">
      <c r="A79" s="26">
        <v>20</v>
      </c>
      <c r="B79" s="32">
        <v>77</v>
      </c>
      <c r="C79" s="41">
        <v>30223</v>
      </c>
      <c r="D79" s="73" t="s">
        <v>145</v>
      </c>
      <c r="E79" s="26" t="s">
        <v>19</v>
      </c>
      <c r="F79" s="27" t="s">
        <v>68</v>
      </c>
      <c r="G79" s="28">
        <v>0.5</v>
      </c>
      <c r="H79" s="28">
        <v>0.6</v>
      </c>
      <c r="I79" s="28">
        <v>0.6</v>
      </c>
      <c r="J79" s="28">
        <v>0.45</v>
      </c>
      <c r="K79" s="28">
        <v>0.25</v>
      </c>
      <c r="L79" s="28" t="s">
        <v>68</v>
      </c>
      <c r="M79" s="29">
        <f t="shared" si="1"/>
        <v>2.4000000000000004</v>
      </c>
      <c r="N79" s="74"/>
      <c r="O79" s="74"/>
      <c r="P79" s="30">
        <v>1.7</v>
      </c>
      <c r="Q79" s="54">
        <v>0</v>
      </c>
      <c r="R79" s="30"/>
      <c r="S79" s="30"/>
      <c r="T79" s="55">
        <v>3.6</v>
      </c>
      <c r="U79" s="31"/>
      <c r="V79" s="31"/>
      <c r="W79" s="38">
        <f>Table132[[#This Row],[Suma lab]]+Table132[[#This Row],[Q1]]+Table132[[#This Row],[Q2]]+MAX(Table132[[#This Row],[Partial]:[re2p]])+MAX(Table132[[#This Row],[Final]:[re2f]])</f>
        <v>7.7000000000000011</v>
      </c>
      <c r="X79" s="70">
        <f>IF(Table132[[#This Row],[Total]]&gt;=9.5, 10, ROUND(Table132[[#This Row],[Total]],0))</f>
        <v>8</v>
      </c>
      <c r="Y79" s="28"/>
      <c r="Z79" s="28"/>
      <c r="AA79" s="65"/>
    </row>
    <row r="80" spans="1:27" ht="14.25" customHeight="1">
      <c r="A80" s="26">
        <v>21</v>
      </c>
      <c r="B80" s="32">
        <v>78</v>
      </c>
      <c r="C80" s="41">
        <v>30223</v>
      </c>
      <c r="D80" s="73" t="s">
        <v>146</v>
      </c>
      <c r="E80" s="26" t="s">
        <v>19</v>
      </c>
      <c r="F80" s="27" t="s">
        <v>68</v>
      </c>
      <c r="G80" s="28">
        <v>0.5</v>
      </c>
      <c r="H80" s="28">
        <v>0.45</v>
      </c>
      <c r="I80" s="28">
        <v>0.3</v>
      </c>
      <c r="J80" s="28">
        <v>0.55000000000000004</v>
      </c>
      <c r="K80" s="28">
        <v>0.6</v>
      </c>
      <c r="L80" s="28" t="s">
        <v>68</v>
      </c>
      <c r="M80" s="29">
        <f t="shared" si="1"/>
        <v>2.4</v>
      </c>
      <c r="N80" s="74">
        <v>0.25</v>
      </c>
      <c r="O80" s="74"/>
      <c r="P80" s="30">
        <v>1.4</v>
      </c>
      <c r="Q80" s="54">
        <v>0</v>
      </c>
      <c r="R80" s="30"/>
      <c r="S80" s="30"/>
      <c r="T80" s="55">
        <v>3</v>
      </c>
      <c r="U80" s="31"/>
      <c r="V80" s="31"/>
      <c r="W80" s="38">
        <f>Table132[[#This Row],[Suma lab]]+Table132[[#This Row],[Q1]]+Table132[[#This Row],[Q2]]+MAX(Table132[[#This Row],[Partial]:[re2p]])+MAX(Table132[[#This Row],[Final]:[re2f]])</f>
        <v>7.05</v>
      </c>
      <c r="X80" s="70">
        <f>IF(Table132[[#This Row],[Total]]&gt;=9.5, 10, ROUND(Table132[[#This Row],[Total]],0))</f>
        <v>7</v>
      </c>
      <c r="Y80" s="28"/>
      <c r="Z80" s="28"/>
      <c r="AA80" s="65"/>
    </row>
    <row r="81" spans="1:27" ht="14.25" customHeight="1">
      <c r="A81" s="26">
        <v>22</v>
      </c>
      <c r="B81" s="32">
        <v>79</v>
      </c>
      <c r="C81" s="41">
        <v>30223</v>
      </c>
      <c r="D81" s="73" t="s">
        <v>147</v>
      </c>
      <c r="E81" s="26" t="s">
        <v>19</v>
      </c>
      <c r="F81" s="27" t="s">
        <v>68</v>
      </c>
      <c r="G81" s="28">
        <v>0.5</v>
      </c>
      <c r="H81" s="28">
        <v>0.3</v>
      </c>
      <c r="I81" s="28">
        <v>0.6</v>
      </c>
      <c r="J81" s="28">
        <v>0.45</v>
      </c>
      <c r="K81" s="28">
        <v>0.45</v>
      </c>
      <c r="L81" s="28" t="s">
        <v>68</v>
      </c>
      <c r="M81" s="29">
        <f t="shared" si="1"/>
        <v>2.2999999999999998</v>
      </c>
      <c r="N81" s="74">
        <v>0.3</v>
      </c>
      <c r="O81" s="74"/>
      <c r="P81" s="30">
        <v>1.6</v>
      </c>
      <c r="Q81" s="54">
        <v>0.85</v>
      </c>
      <c r="R81" s="30"/>
      <c r="S81" s="30"/>
      <c r="T81" s="55">
        <v>2.65</v>
      </c>
      <c r="U81" s="31"/>
      <c r="V81" s="31"/>
      <c r="W81" s="38">
        <f>Table132[[#This Row],[Suma lab]]+Table132[[#This Row],[Q1]]+Table132[[#This Row],[Q2]]+MAX(Table132[[#This Row],[Partial]:[re2p]])+MAX(Table132[[#This Row],[Final]:[re2f]])</f>
        <v>6.85</v>
      </c>
      <c r="X81" s="70">
        <f>IF(Table132[[#This Row],[Total]]&gt;=9.5, 10, ROUND(Table132[[#This Row],[Total]],0))</f>
        <v>7</v>
      </c>
      <c r="Y81" s="28"/>
      <c r="Z81" s="28"/>
      <c r="AA81" s="65"/>
    </row>
    <row r="82" spans="1:27" ht="14.25" customHeight="1">
      <c r="A82" s="26">
        <v>23</v>
      </c>
      <c r="B82" s="32">
        <v>80</v>
      </c>
      <c r="C82" s="41">
        <v>30223</v>
      </c>
      <c r="D82" s="73" t="s">
        <v>148</v>
      </c>
      <c r="E82" s="26" t="s">
        <v>19</v>
      </c>
      <c r="F82" s="27" t="s">
        <v>68</v>
      </c>
      <c r="G82" s="28">
        <v>0.55000000000000004</v>
      </c>
      <c r="H82" s="28">
        <v>0.6</v>
      </c>
      <c r="I82" s="28">
        <v>0.5</v>
      </c>
      <c r="J82" s="28">
        <v>0.55000000000000004</v>
      </c>
      <c r="K82" s="28">
        <v>0.45</v>
      </c>
      <c r="L82" s="28" t="s">
        <v>68</v>
      </c>
      <c r="M82" s="29">
        <f t="shared" si="1"/>
        <v>2.6500000000000004</v>
      </c>
      <c r="N82" s="74">
        <v>0.15</v>
      </c>
      <c r="O82" s="74"/>
      <c r="P82" s="30">
        <v>2.2000000000000002</v>
      </c>
      <c r="Q82" s="54"/>
      <c r="R82" s="30"/>
      <c r="S82" s="30"/>
      <c r="T82" s="55">
        <v>3.3</v>
      </c>
      <c r="U82" s="31"/>
      <c r="V82" s="31"/>
      <c r="W82" s="38">
        <f>Table132[[#This Row],[Suma lab]]+Table132[[#This Row],[Q1]]+Table132[[#This Row],[Q2]]+MAX(Table132[[#This Row],[Partial]:[re2p]])+MAX(Table132[[#This Row],[Final]:[re2f]])</f>
        <v>8.3000000000000007</v>
      </c>
      <c r="X82" s="70">
        <f>IF(Table132[[#This Row],[Total]]&gt;=9.5, 10, ROUND(Table132[[#This Row],[Total]],0))</f>
        <v>8</v>
      </c>
      <c r="Y82" s="28"/>
      <c r="Z82" s="28"/>
      <c r="AA82" s="65"/>
    </row>
    <row r="83" spans="1:27" ht="14.25" customHeight="1">
      <c r="A83" s="26">
        <v>24</v>
      </c>
      <c r="B83" s="32">
        <v>81</v>
      </c>
      <c r="C83" s="41">
        <v>30223</v>
      </c>
      <c r="D83" s="73" t="s">
        <v>149</v>
      </c>
      <c r="E83" s="26" t="s">
        <v>19</v>
      </c>
      <c r="F83" s="33" t="s">
        <v>68</v>
      </c>
      <c r="G83" s="34">
        <v>0.5</v>
      </c>
      <c r="H83" s="34">
        <v>0.42</v>
      </c>
      <c r="I83" s="34">
        <v>0.5</v>
      </c>
      <c r="J83" s="34">
        <v>0.5</v>
      </c>
      <c r="K83" s="34">
        <v>0.3</v>
      </c>
      <c r="L83" s="34" t="s">
        <v>68</v>
      </c>
      <c r="M83" s="35">
        <f t="shared" si="1"/>
        <v>2.2199999999999998</v>
      </c>
      <c r="N83" s="75">
        <v>0.3</v>
      </c>
      <c r="O83" s="75"/>
      <c r="P83" s="36">
        <v>2.4500000000000002</v>
      </c>
      <c r="Q83" s="58">
        <v>0</v>
      </c>
      <c r="R83" s="36"/>
      <c r="S83" s="36"/>
      <c r="T83" s="59">
        <v>5.3</v>
      </c>
      <c r="U83" s="37"/>
      <c r="V83" s="37"/>
      <c r="W83" s="38">
        <f>Table132[[#This Row],[Suma lab]]+Table132[[#This Row],[Q1]]+Table132[[#This Row],[Q2]]+MAX(Table132[[#This Row],[Partial]:[re2p]])+MAX(Table132[[#This Row],[Final]:[re2f]])</f>
        <v>10.27</v>
      </c>
      <c r="X83" s="70">
        <f>IF(Table132[[#This Row],[Total]]&gt;=9.5, 10, ROUND(Table132[[#This Row],[Total]],0))</f>
        <v>10</v>
      </c>
      <c r="Y83" s="34"/>
      <c r="Z83" s="34"/>
      <c r="AA83" s="66"/>
    </row>
    <row r="84" spans="1:27" ht="14.25" customHeight="1">
      <c r="A84" s="26">
        <v>25</v>
      </c>
      <c r="B84" s="32">
        <v>82</v>
      </c>
      <c r="C84" s="41">
        <v>30223</v>
      </c>
      <c r="D84" s="73" t="s">
        <v>150</v>
      </c>
      <c r="E84" s="26" t="s">
        <v>17</v>
      </c>
      <c r="F84" s="27" t="s">
        <v>77</v>
      </c>
      <c r="G84" s="28">
        <v>0.4</v>
      </c>
      <c r="H84" s="28">
        <v>0.4</v>
      </c>
      <c r="I84" s="28">
        <v>0.6</v>
      </c>
      <c r="J84" s="28">
        <v>0.32</v>
      </c>
      <c r="K84" s="28">
        <v>0.45</v>
      </c>
      <c r="L84" s="80" t="s">
        <v>68</v>
      </c>
      <c r="M84" s="29">
        <f t="shared" si="1"/>
        <v>2.17</v>
      </c>
      <c r="N84" s="74">
        <v>0.25</v>
      </c>
      <c r="O84" s="74"/>
      <c r="P84" s="30">
        <v>1.4</v>
      </c>
      <c r="Q84" s="54">
        <v>2.7</v>
      </c>
      <c r="R84" s="30"/>
      <c r="S84" s="30"/>
      <c r="T84" s="55">
        <v>2.2000000000000002</v>
      </c>
      <c r="U84" s="31"/>
      <c r="V84" s="31"/>
      <c r="W84" s="38">
        <f>Table132[[#This Row],[Suma lab]]+Table132[[#This Row],[Q1]]+Table132[[#This Row],[Q2]]+MAX(Table132[[#This Row],[Partial]:[re2p]])+MAX(Table132[[#This Row],[Final]:[re2f]])</f>
        <v>7.32</v>
      </c>
      <c r="X84" s="70">
        <f>IF(Table132[[#This Row],[Total]]&gt;=9.5, 10, ROUND(Table132[[#This Row],[Total]],0))</f>
        <v>7</v>
      </c>
      <c r="Y84" s="28"/>
      <c r="Z84" s="28"/>
      <c r="AA84" s="65"/>
    </row>
    <row r="85" spans="1:27" ht="14.25" customHeight="1">
      <c r="A85" s="26">
        <v>26</v>
      </c>
      <c r="B85" s="32">
        <v>83</v>
      </c>
      <c r="C85" s="41">
        <v>30223</v>
      </c>
      <c r="D85" s="73" t="s">
        <v>151</v>
      </c>
      <c r="E85" s="26" t="s">
        <v>19</v>
      </c>
      <c r="F85" s="27" t="s">
        <v>68</v>
      </c>
      <c r="G85" s="28">
        <v>0.4</v>
      </c>
      <c r="H85" s="28">
        <v>0.25</v>
      </c>
      <c r="I85" s="28">
        <v>0.5</v>
      </c>
      <c r="J85" s="28">
        <v>0.4</v>
      </c>
      <c r="K85" s="28" t="s">
        <v>77</v>
      </c>
      <c r="L85" s="28" t="s">
        <v>68</v>
      </c>
      <c r="M85" s="29">
        <f t="shared" si="1"/>
        <v>1.5499999999999998</v>
      </c>
      <c r="N85" s="74"/>
      <c r="O85" s="74"/>
      <c r="P85" s="30">
        <v>1.25</v>
      </c>
      <c r="Q85" s="54"/>
      <c r="R85" s="30"/>
      <c r="S85" s="30"/>
      <c r="T85" s="55">
        <v>3.3</v>
      </c>
      <c r="U85" s="31"/>
      <c r="V85" s="31"/>
      <c r="W85" s="38">
        <f>Table132[[#This Row],[Suma lab]]+Table132[[#This Row],[Q1]]+Table132[[#This Row],[Q2]]+MAX(Table132[[#This Row],[Partial]:[re2p]])+MAX(Table132[[#This Row],[Final]:[re2f]])</f>
        <v>6.1</v>
      </c>
      <c r="X85" s="70">
        <f>IF(Table132[[#This Row],[Total]]&gt;=9.5, 10, ROUND(Table132[[#This Row],[Total]],0))</f>
        <v>6</v>
      </c>
      <c r="Y85" s="28"/>
      <c r="Z85" s="28"/>
      <c r="AA85" s="65"/>
    </row>
    <row r="86" spans="1:27" ht="14.25" customHeight="1">
      <c r="A86" s="26">
        <v>27</v>
      </c>
      <c r="B86" s="32">
        <v>84</v>
      </c>
      <c r="C86" s="41">
        <v>30223</v>
      </c>
      <c r="D86" s="73" t="s">
        <v>152</v>
      </c>
      <c r="E86" s="26" t="s">
        <v>19</v>
      </c>
      <c r="F86" s="27" t="s">
        <v>68</v>
      </c>
      <c r="G86" s="28">
        <v>0.5</v>
      </c>
      <c r="H86" s="28">
        <v>0.5</v>
      </c>
      <c r="I86" s="28">
        <v>0.22</v>
      </c>
      <c r="J86" s="28">
        <v>0.2</v>
      </c>
      <c r="K86" s="28">
        <v>0.25</v>
      </c>
      <c r="L86" s="28" t="s">
        <v>68</v>
      </c>
      <c r="M86" s="29">
        <f t="shared" si="1"/>
        <v>1.67</v>
      </c>
      <c r="N86" s="74">
        <v>0.3</v>
      </c>
      <c r="O86" s="74"/>
      <c r="P86" s="30">
        <v>1.2</v>
      </c>
      <c r="Q86" s="54">
        <v>1.25</v>
      </c>
      <c r="R86" s="30"/>
      <c r="S86" s="30"/>
      <c r="T86" s="55">
        <v>1.85</v>
      </c>
      <c r="U86" s="31"/>
      <c r="V86" s="31"/>
      <c r="W86" s="38">
        <f>Table132[[#This Row],[Suma lab]]+Table132[[#This Row],[Q1]]+Table132[[#This Row],[Q2]]+MAX(Table132[[#This Row],[Partial]:[re2p]])+MAX(Table132[[#This Row],[Final]:[re2f]])</f>
        <v>5.07</v>
      </c>
      <c r="X86" s="70">
        <f>IF(Table132[[#This Row],[Total]]&gt;=9.5, 10, ROUND(Table132[[#This Row],[Total]],0))</f>
        <v>5</v>
      </c>
      <c r="Y86" s="28"/>
      <c r="Z86" s="28"/>
      <c r="AA86" s="65"/>
    </row>
    <row r="87" spans="1:27" ht="14.25" customHeight="1">
      <c r="A87" s="26">
        <v>1</v>
      </c>
      <c r="B87" s="32">
        <v>85</v>
      </c>
      <c r="C87" s="42">
        <v>30224</v>
      </c>
      <c r="D87" s="73" t="s">
        <v>153</v>
      </c>
      <c r="E87" s="26" t="s">
        <v>20</v>
      </c>
      <c r="F87" s="27" t="s">
        <v>68</v>
      </c>
      <c r="G87" s="28">
        <v>0.6</v>
      </c>
      <c r="H87" s="28">
        <v>0.6</v>
      </c>
      <c r="I87" s="28">
        <v>0.5</v>
      </c>
      <c r="J87" s="28">
        <v>0.55000000000000004</v>
      </c>
      <c r="K87" s="28">
        <v>0.4</v>
      </c>
      <c r="L87" s="28" t="s">
        <v>68</v>
      </c>
      <c r="M87" s="29">
        <f t="shared" si="1"/>
        <v>2.65</v>
      </c>
      <c r="N87" s="74">
        <v>0.2</v>
      </c>
      <c r="O87" s="74"/>
      <c r="P87" s="30">
        <v>1.7</v>
      </c>
      <c r="Q87" s="54"/>
      <c r="R87" s="30"/>
      <c r="S87" s="30"/>
      <c r="T87" s="55">
        <v>5.2</v>
      </c>
      <c r="U87" s="31"/>
      <c r="V87" s="31"/>
      <c r="W87" s="38">
        <f>Table132[[#This Row],[Suma lab]]+Table132[[#This Row],[Q1]]+Table132[[#This Row],[Q2]]+MAX(Table132[[#This Row],[Partial]:[re2p]])+MAX(Table132[[#This Row],[Final]:[re2f]])</f>
        <v>9.75</v>
      </c>
      <c r="X87" s="70">
        <f>IF(Table132[[#This Row],[Total]]&gt;=9.5, 10, ROUND(Table132[[#This Row],[Total]],0))</f>
        <v>10</v>
      </c>
      <c r="Y87" s="28"/>
      <c r="Z87" s="28"/>
      <c r="AA87" s="71"/>
    </row>
    <row r="88" spans="1:27" ht="14.25" customHeight="1">
      <c r="A88" s="26">
        <v>2</v>
      </c>
      <c r="B88" s="32">
        <v>86</v>
      </c>
      <c r="C88" s="42">
        <v>30224</v>
      </c>
      <c r="D88" s="73" t="s">
        <v>154</v>
      </c>
      <c r="E88" s="26" t="s">
        <v>20</v>
      </c>
      <c r="F88" s="27" t="s">
        <v>68</v>
      </c>
      <c r="G88" s="28">
        <v>0.2</v>
      </c>
      <c r="H88" s="28" t="s">
        <v>77</v>
      </c>
      <c r="I88" s="28">
        <v>0.05</v>
      </c>
      <c r="J88" s="28" t="s">
        <v>77</v>
      </c>
      <c r="K88" s="28">
        <v>0</v>
      </c>
      <c r="L88" s="28" t="s">
        <v>68</v>
      </c>
      <c r="M88" s="29">
        <f t="shared" si="1"/>
        <v>0.25</v>
      </c>
      <c r="N88" s="74"/>
      <c r="O88" s="74"/>
      <c r="P88" s="30">
        <v>0.1</v>
      </c>
      <c r="Q88" s="54">
        <v>1.2</v>
      </c>
      <c r="R88" s="30"/>
      <c r="S88" s="30"/>
      <c r="T88" s="55">
        <v>2.2999999999999998</v>
      </c>
      <c r="U88" s="31"/>
      <c r="V88" s="31"/>
      <c r="W88" s="38">
        <f>Table132[[#This Row],[Suma lab]]+Table132[[#This Row],[Q1]]+Table132[[#This Row],[Q2]]+MAX(Table132[[#This Row],[Partial]:[re2p]])+MAX(Table132[[#This Row],[Final]:[re2f]])</f>
        <v>3.75</v>
      </c>
      <c r="X88" s="70">
        <f>IF(Table132[[#This Row],[Total]]&gt;=9.5, 10, ROUND(Table132[[#This Row],[Total]],0))</f>
        <v>4</v>
      </c>
      <c r="Y88" s="28"/>
      <c r="Z88" s="28"/>
      <c r="AA88" s="71"/>
    </row>
    <row r="89" spans="1:27" ht="14.25" customHeight="1">
      <c r="A89" s="26">
        <v>3</v>
      </c>
      <c r="B89" s="32">
        <v>87</v>
      </c>
      <c r="C89" s="42">
        <v>30224</v>
      </c>
      <c r="D89" s="73" t="s">
        <v>155</v>
      </c>
      <c r="E89" s="26" t="s">
        <v>20</v>
      </c>
      <c r="F89" s="27" t="s">
        <v>68</v>
      </c>
      <c r="G89" s="28" t="s">
        <v>77</v>
      </c>
      <c r="H89" s="28" t="s">
        <v>77</v>
      </c>
      <c r="I89" s="28">
        <v>0.05</v>
      </c>
      <c r="J89" s="28">
        <v>0.02</v>
      </c>
      <c r="K89" s="28">
        <v>0</v>
      </c>
      <c r="L89" s="28" t="s">
        <v>68</v>
      </c>
      <c r="M89" s="29">
        <f t="shared" si="1"/>
        <v>7.0000000000000007E-2</v>
      </c>
      <c r="N89" s="74"/>
      <c r="O89" s="74"/>
      <c r="P89" s="30">
        <v>0</v>
      </c>
      <c r="Q89" s="54">
        <v>0</v>
      </c>
      <c r="R89" s="30"/>
      <c r="S89" s="30"/>
      <c r="T89" s="55">
        <v>0.8</v>
      </c>
      <c r="U89" s="31"/>
      <c r="V89" s="31"/>
      <c r="W89" s="38">
        <f>Table132[[#This Row],[Suma lab]]+Table132[[#This Row],[Q1]]+Table132[[#This Row],[Q2]]+MAX(Table132[[#This Row],[Partial]:[re2p]])+MAX(Table132[[#This Row],[Final]:[re2f]])</f>
        <v>0.87000000000000011</v>
      </c>
      <c r="X89" s="70">
        <f>IF(Table132[[#This Row],[Total]]&gt;=9.5, 10, ROUND(Table132[[#This Row],[Total]],0))</f>
        <v>1</v>
      </c>
      <c r="Y89" s="28"/>
      <c r="Z89" s="28"/>
      <c r="AA89" s="65"/>
    </row>
    <row r="90" spans="1:27" ht="14.25" customHeight="1">
      <c r="A90" s="26">
        <v>4</v>
      </c>
      <c r="B90" s="32">
        <v>88</v>
      </c>
      <c r="C90" s="42">
        <v>30224</v>
      </c>
      <c r="D90" s="73" t="s">
        <v>156</v>
      </c>
      <c r="E90" s="26" t="s">
        <v>20</v>
      </c>
      <c r="F90" s="27" t="s">
        <v>68</v>
      </c>
      <c r="G90" s="28">
        <v>0.6</v>
      </c>
      <c r="H90" s="28">
        <v>0.6</v>
      </c>
      <c r="I90" s="28">
        <v>0.6</v>
      </c>
      <c r="J90" s="28">
        <v>0.45</v>
      </c>
      <c r="K90" s="28">
        <v>0.6</v>
      </c>
      <c r="L90" s="28" t="s">
        <v>68</v>
      </c>
      <c r="M90" s="29">
        <f t="shared" si="1"/>
        <v>2.85</v>
      </c>
      <c r="N90" s="74">
        <v>0.1</v>
      </c>
      <c r="O90" s="74">
        <v>0.5</v>
      </c>
      <c r="P90" s="30">
        <v>2.5</v>
      </c>
      <c r="Q90" s="54"/>
      <c r="R90" s="30"/>
      <c r="S90" s="30"/>
      <c r="T90" s="55">
        <v>5.5</v>
      </c>
      <c r="U90" s="31"/>
      <c r="V90" s="31"/>
      <c r="W90" s="38">
        <f>Table132[[#This Row],[Suma lab]]+Table132[[#This Row],[Q1]]+Table132[[#This Row],[Q2]]+MAX(Table132[[#This Row],[Partial]:[re2p]])+MAX(Table132[[#This Row],[Final]:[re2f]])</f>
        <v>11.45</v>
      </c>
      <c r="X90" s="70">
        <f>IF(Table132[[#This Row],[Total]]&gt;=9.5, 10, ROUND(Table132[[#This Row],[Total]],0))</f>
        <v>10</v>
      </c>
      <c r="Y90" s="28"/>
      <c r="Z90" s="28"/>
      <c r="AA90" s="65"/>
    </row>
    <row r="91" spans="1:27" ht="14.25" customHeight="1">
      <c r="A91" s="26">
        <v>5</v>
      </c>
      <c r="B91" s="32">
        <v>89</v>
      </c>
      <c r="C91" s="42">
        <v>30224</v>
      </c>
      <c r="D91" s="73" t="s">
        <v>157</v>
      </c>
      <c r="E91" s="26" t="s">
        <v>20</v>
      </c>
      <c r="F91" s="27" t="s">
        <v>68</v>
      </c>
      <c r="G91" s="28">
        <v>0.6</v>
      </c>
      <c r="H91" s="28">
        <v>0.6</v>
      </c>
      <c r="I91" s="28">
        <v>0.6</v>
      </c>
      <c r="J91" s="28">
        <v>0.42</v>
      </c>
      <c r="K91" s="28" t="s">
        <v>77</v>
      </c>
      <c r="L91" s="28" t="s">
        <v>68</v>
      </c>
      <c r="M91" s="29">
        <f t="shared" si="1"/>
        <v>2.2199999999999998</v>
      </c>
      <c r="N91" s="74">
        <v>0.3</v>
      </c>
      <c r="O91" s="74">
        <v>0.5</v>
      </c>
      <c r="P91" s="30">
        <v>2.0499999999999998</v>
      </c>
      <c r="Q91" s="54">
        <v>0</v>
      </c>
      <c r="R91" s="30"/>
      <c r="S91" s="30"/>
      <c r="T91" s="55">
        <v>5.3</v>
      </c>
      <c r="U91" s="31"/>
      <c r="V91" s="31"/>
      <c r="W91" s="38">
        <f>Table132[[#This Row],[Suma lab]]+Table132[[#This Row],[Q1]]+Table132[[#This Row],[Q2]]+MAX(Table132[[#This Row],[Partial]:[re2p]])+MAX(Table132[[#This Row],[Final]:[re2f]])</f>
        <v>10.37</v>
      </c>
      <c r="X91" s="70">
        <f>IF(Table132[[#This Row],[Total]]&gt;=9.5, 10, ROUND(Table132[[#This Row],[Total]],0))</f>
        <v>10</v>
      </c>
      <c r="Y91" s="28"/>
      <c r="Z91" s="28"/>
      <c r="AA91" s="65"/>
    </row>
    <row r="92" spans="1:27" ht="14.25" customHeight="1">
      <c r="A92" s="26">
        <v>6</v>
      </c>
      <c r="B92" s="32">
        <v>90</v>
      </c>
      <c r="C92" s="42">
        <v>30224</v>
      </c>
      <c r="D92" s="73" t="s">
        <v>158</v>
      </c>
      <c r="E92" s="26" t="s">
        <v>20</v>
      </c>
      <c r="F92" s="27" t="s">
        <v>68</v>
      </c>
      <c r="G92" s="28">
        <v>0.4</v>
      </c>
      <c r="H92" s="28">
        <v>0.45</v>
      </c>
      <c r="I92" s="28">
        <v>0.5</v>
      </c>
      <c r="J92" s="28">
        <v>0.55000000000000004</v>
      </c>
      <c r="K92" s="28">
        <v>0.45</v>
      </c>
      <c r="L92" s="28" t="s">
        <v>68</v>
      </c>
      <c r="M92" s="29">
        <f t="shared" si="1"/>
        <v>2.35</v>
      </c>
      <c r="N92" s="74"/>
      <c r="O92" s="74"/>
      <c r="P92" s="30">
        <v>1.1000000000000001</v>
      </c>
      <c r="Q92" s="54"/>
      <c r="R92" s="30"/>
      <c r="S92" s="30"/>
      <c r="T92" s="55">
        <v>2.7</v>
      </c>
      <c r="U92" s="31"/>
      <c r="V92" s="31"/>
      <c r="W92" s="38">
        <f>Table132[[#This Row],[Suma lab]]+Table132[[#This Row],[Q1]]+Table132[[#This Row],[Q2]]+MAX(Table132[[#This Row],[Partial]:[re2p]])+MAX(Table132[[#This Row],[Final]:[re2f]])</f>
        <v>6.15</v>
      </c>
      <c r="X92" s="70">
        <f>IF(Table132[[#This Row],[Total]]&gt;=9.5, 10, ROUND(Table132[[#This Row],[Total]],0))</f>
        <v>6</v>
      </c>
      <c r="Y92" s="28"/>
      <c r="Z92" s="28"/>
      <c r="AA92" s="65"/>
    </row>
    <row r="93" spans="1:27" ht="14.25" customHeight="1">
      <c r="A93" s="26">
        <v>7</v>
      </c>
      <c r="B93" s="32">
        <v>91</v>
      </c>
      <c r="C93" s="42">
        <v>30224</v>
      </c>
      <c r="D93" s="73" t="s">
        <v>159</v>
      </c>
      <c r="E93" s="26" t="s">
        <v>20</v>
      </c>
      <c r="F93" s="27" t="s">
        <v>68</v>
      </c>
      <c r="G93" s="28">
        <v>0.6</v>
      </c>
      <c r="H93" s="28">
        <v>0.6</v>
      </c>
      <c r="I93" s="28">
        <v>0.6</v>
      </c>
      <c r="J93" s="28">
        <v>0.6</v>
      </c>
      <c r="K93" s="28">
        <v>0</v>
      </c>
      <c r="L93" s="28" t="s">
        <v>68</v>
      </c>
      <c r="M93" s="29">
        <f t="shared" si="1"/>
        <v>2.4</v>
      </c>
      <c r="N93" s="74">
        <v>0.4</v>
      </c>
      <c r="O93" s="74">
        <v>0.5</v>
      </c>
      <c r="P93" s="30">
        <v>2.4</v>
      </c>
      <c r="Q93" s="54">
        <v>0</v>
      </c>
      <c r="R93" s="30"/>
      <c r="S93" s="30"/>
      <c r="T93" s="55">
        <v>5.6</v>
      </c>
      <c r="U93" s="31"/>
      <c r="V93" s="31"/>
      <c r="W93" s="38">
        <f>Table132[[#This Row],[Suma lab]]+Table132[[#This Row],[Q1]]+Table132[[#This Row],[Q2]]+MAX(Table132[[#This Row],[Partial]:[re2p]])+MAX(Table132[[#This Row],[Final]:[re2f]])</f>
        <v>11.299999999999999</v>
      </c>
      <c r="X93" s="70">
        <f>IF(Table132[[#This Row],[Total]]&gt;=9.5, 10, ROUND(Table132[[#This Row],[Total]],0))</f>
        <v>10</v>
      </c>
      <c r="Y93" s="28"/>
      <c r="Z93" s="28"/>
      <c r="AA93" s="65"/>
    </row>
    <row r="94" spans="1:27" ht="14.25" customHeight="1">
      <c r="A94" s="26">
        <v>8</v>
      </c>
      <c r="B94" s="32">
        <v>92</v>
      </c>
      <c r="C94" s="42">
        <v>30224</v>
      </c>
      <c r="D94" s="73" t="s">
        <v>160</v>
      </c>
      <c r="E94" s="26" t="s">
        <v>20</v>
      </c>
      <c r="F94" s="27" t="s">
        <v>68</v>
      </c>
      <c r="G94" s="28">
        <v>0.4</v>
      </c>
      <c r="H94" s="28">
        <v>0.42</v>
      </c>
      <c r="I94" s="28">
        <v>0.25</v>
      </c>
      <c r="J94" s="28">
        <v>0.45</v>
      </c>
      <c r="K94" s="28">
        <v>0.25</v>
      </c>
      <c r="L94" s="28" t="s">
        <v>68</v>
      </c>
      <c r="M94" s="29">
        <f t="shared" si="1"/>
        <v>1.77</v>
      </c>
      <c r="N94" s="74">
        <v>0.35</v>
      </c>
      <c r="O94" s="74">
        <v>0.5</v>
      </c>
      <c r="P94" s="30">
        <v>3.1</v>
      </c>
      <c r="Q94" s="54">
        <v>0</v>
      </c>
      <c r="R94" s="30"/>
      <c r="S94" s="30"/>
      <c r="T94" s="55">
        <v>5.8</v>
      </c>
      <c r="U94" s="31"/>
      <c r="V94" s="31"/>
      <c r="W94" s="38">
        <f>Table132[[#This Row],[Suma lab]]+Table132[[#This Row],[Q1]]+Table132[[#This Row],[Q2]]+MAX(Table132[[#This Row],[Partial]:[re2p]])+MAX(Table132[[#This Row],[Final]:[re2f]])</f>
        <v>11.52</v>
      </c>
      <c r="X94" s="70">
        <f>IF(Table132[[#This Row],[Total]]&gt;=9.5, 10, ROUND(Table132[[#This Row],[Total]],0))</f>
        <v>10</v>
      </c>
      <c r="Y94" s="28"/>
      <c r="Z94" s="28"/>
      <c r="AA94" s="65"/>
    </row>
    <row r="95" spans="1:27" ht="14.25" customHeight="1">
      <c r="A95" s="26">
        <v>9</v>
      </c>
      <c r="B95" s="32">
        <v>93</v>
      </c>
      <c r="C95" s="42">
        <v>30224</v>
      </c>
      <c r="D95" s="73" t="s">
        <v>161</v>
      </c>
      <c r="E95" s="26" t="s">
        <v>20</v>
      </c>
      <c r="F95" s="27" t="s">
        <v>68</v>
      </c>
      <c r="G95" s="28">
        <v>0</v>
      </c>
      <c r="H95" s="28" t="s">
        <v>77</v>
      </c>
      <c r="I95" s="28" t="s">
        <v>77</v>
      </c>
      <c r="J95" s="28">
        <v>0.02</v>
      </c>
      <c r="K95" s="28">
        <v>0</v>
      </c>
      <c r="L95" s="28" t="s">
        <v>68</v>
      </c>
      <c r="M95" s="29">
        <f t="shared" si="1"/>
        <v>0.02</v>
      </c>
      <c r="N95" s="74"/>
      <c r="O95" s="74"/>
      <c r="P95" s="30"/>
      <c r="Q95" s="54">
        <v>1.5</v>
      </c>
      <c r="R95" s="30"/>
      <c r="S95" s="30"/>
      <c r="T95" s="55">
        <v>2.2999999999999998</v>
      </c>
      <c r="U95" s="31"/>
      <c r="V95" s="31"/>
      <c r="W95" s="38">
        <f>Table132[[#This Row],[Suma lab]]+Table132[[#This Row],[Q1]]+Table132[[#This Row],[Q2]]+MAX(Table132[[#This Row],[Partial]:[re2p]])+MAX(Table132[[#This Row],[Final]:[re2f]])</f>
        <v>3.82</v>
      </c>
      <c r="X95" s="70">
        <f>IF(Table132[[#This Row],[Total]]&gt;=9.5, 10, ROUND(Table132[[#This Row],[Total]],0))</f>
        <v>4</v>
      </c>
      <c r="Y95" s="28"/>
      <c r="Z95" s="28"/>
      <c r="AA95" s="65"/>
    </row>
    <row r="96" spans="1:27" ht="14.25" customHeight="1">
      <c r="A96" s="26">
        <v>10</v>
      </c>
      <c r="B96" s="32">
        <v>94</v>
      </c>
      <c r="C96" s="42">
        <v>30224</v>
      </c>
      <c r="D96" s="73" t="s">
        <v>162</v>
      </c>
      <c r="E96" s="26" t="s">
        <v>20</v>
      </c>
      <c r="F96" s="27" t="s">
        <v>68</v>
      </c>
      <c r="G96" s="28">
        <v>0.4</v>
      </c>
      <c r="H96" s="28">
        <v>0.5</v>
      </c>
      <c r="I96" s="28">
        <v>0.6</v>
      </c>
      <c r="J96" s="28">
        <v>0.5</v>
      </c>
      <c r="K96" s="28">
        <v>0.25</v>
      </c>
      <c r="L96" s="28" t="s">
        <v>68</v>
      </c>
      <c r="M96" s="29">
        <f t="shared" si="1"/>
        <v>2.25</v>
      </c>
      <c r="N96" s="74">
        <v>0.3</v>
      </c>
      <c r="O96" s="74">
        <v>0.5</v>
      </c>
      <c r="P96" s="30">
        <v>1.5</v>
      </c>
      <c r="Q96" s="54">
        <v>0</v>
      </c>
      <c r="R96" s="30"/>
      <c r="S96" s="30"/>
      <c r="T96" s="55">
        <v>5.3</v>
      </c>
      <c r="U96" s="31"/>
      <c r="V96" s="31"/>
      <c r="W96" s="38">
        <f>Table132[[#This Row],[Suma lab]]+Table132[[#This Row],[Q1]]+Table132[[#This Row],[Q2]]+MAX(Table132[[#This Row],[Partial]:[re2p]])+MAX(Table132[[#This Row],[Final]:[re2f]])</f>
        <v>9.85</v>
      </c>
      <c r="X96" s="70">
        <f>IF(Table132[[#This Row],[Total]]&gt;=9.5, 10, ROUND(Table132[[#This Row],[Total]],0))</f>
        <v>10</v>
      </c>
      <c r="Y96" s="28"/>
      <c r="Z96" s="28"/>
      <c r="AA96" s="65"/>
    </row>
    <row r="97" spans="1:27" ht="14.25" customHeight="1">
      <c r="A97" s="26">
        <v>11</v>
      </c>
      <c r="B97" s="32">
        <v>95</v>
      </c>
      <c r="C97" s="42">
        <v>30224</v>
      </c>
      <c r="D97" s="73" t="s">
        <v>163</v>
      </c>
      <c r="E97" s="26" t="s">
        <v>20</v>
      </c>
      <c r="F97" s="27" t="s">
        <v>68</v>
      </c>
      <c r="G97" s="28">
        <v>0.4</v>
      </c>
      <c r="H97" s="28">
        <v>0.6</v>
      </c>
      <c r="I97" s="28">
        <v>0.4</v>
      </c>
      <c r="J97" s="28">
        <v>0.55000000000000004</v>
      </c>
      <c r="K97" s="28">
        <v>0.4</v>
      </c>
      <c r="L97" s="28" t="s">
        <v>68</v>
      </c>
      <c r="M97" s="29">
        <f t="shared" si="1"/>
        <v>2.35</v>
      </c>
      <c r="N97" s="74">
        <v>0.3</v>
      </c>
      <c r="O97" s="74"/>
      <c r="P97" s="30">
        <v>1.7</v>
      </c>
      <c r="Q97" s="54">
        <v>0</v>
      </c>
      <c r="R97" s="30"/>
      <c r="S97" s="30"/>
      <c r="T97" s="55">
        <v>5.25</v>
      </c>
      <c r="U97" s="31"/>
      <c r="V97" s="31"/>
      <c r="W97" s="38">
        <f>Table132[[#This Row],[Suma lab]]+Table132[[#This Row],[Q1]]+Table132[[#This Row],[Q2]]+MAX(Table132[[#This Row],[Partial]:[re2p]])+MAX(Table132[[#This Row],[Final]:[re2f]])</f>
        <v>9.6</v>
      </c>
      <c r="X97" s="70">
        <f>IF(Table132[[#This Row],[Total]]&gt;=9.5, 10, ROUND(Table132[[#This Row],[Total]],0))</f>
        <v>10</v>
      </c>
      <c r="Y97" s="28"/>
      <c r="Z97" s="28"/>
      <c r="AA97" s="65"/>
    </row>
    <row r="98" spans="1:27" ht="14.25" customHeight="1">
      <c r="A98" s="26">
        <v>12</v>
      </c>
      <c r="B98" s="32">
        <v>96</v>
      </c>
      <c r="C98" s="42">
        <v>30224</v>
      </c>
      <c r="D98" s="73" t="s">
        <v>164</v>
      </c>
      <c r="E98" s="26" t="s">
        <v>20</v>
      </c>
      <c r="F98" s="27" t="s">
        <v>68</v>
      </c>
      <c r="G98" s="28">
        <v>0.6</v>
      </c>
      <c r="H98" s="28">
        <v>0.6</v>
      </c>
      <c r="I98" s="28">
        <v>0.6</v>
      </c>
      <c r="J98" s="28">
        <v>0.2</v>
      </c>
      <c r="K98" s="28">
        <v>0.35</v>
      </c>
      <c r="L98" s="28" t="s">
        <v>68</v>
      </c>
      <c r="M98" s="29">
        <f t="shared" si="1"/>
        <v>2.3499999999999996</v>
      </c>
      <c r="N98" s="74">
        <v>0.3</v>
      </c>
      <c r="O98" s="74">
        <v>0.5</v>
      </c>
      <c r="P98" s="30">
        <v>1.7</v>
      </c>
      <c r="Q98" s="54">
        <v>3.4</v>
      </c>
      <c r="R98" s="30"/>
      <c r="S98" s="30"/>
      <c r="T98" s="55">
        <v>4.9000000000000004</v>
      </c>
      <c r="U98" s="31"/>
      <c r="V98" s="31"/>
      <c r="W98" s="38">
        <f>Table132[[#This Row],[Suma lab]]+Table132[[#This Row],[Q1]]+Table132[[#This Row],[Q2]]+MAX(Table132[[#This Row],[Partial]:[re2p]])+MAX(Table132[[#This Row],[Final]:[re2f]])</f>
        <v>11.45</v>
      </c>
      <c r="X98" s="70">
        <f>IF(Table132[[#This Row],[Total]]&gt;=9.5, 10, ROUND(Table132[[#This Row],[Total]],0))</f>
        <v>10</v>
      </c>
      <c r="Y98" s="28"/>
      <c r="Z98" s="28"/>
      <c r="AA98" s="65"/>
    </row>
    <row r="99" spans="1:27" ht="14.25" customHeight="1">
      <c r="A99" s="26">
        <v>13</v>
      </c>
      <c r="B99" s="32">
        <v>97</v>
      </c>
      <c r="C99" s="42">
        <v>30224</v>
      </c>
      <c r="D99" s="73" t="s">
        <v>165</v>
      </c>
      <c r="E99" s="26" t="s">
        <v>20</v>
      </c>
      <c r="F99" s="27" t="s">
        <v>68</v>
      </c>
      <c r="G99" s="28" t="s">
        <v>77</v>
      </c>
      <c r="H99" s="28">
        <v>0.22</v>
      </c>
      <c r="I99" s="28">
        <v>0.4</v>
      </c>
      <c r="J99" s="28">
        <v>0.1</v>
      </c>
      <c r="K99" s="28" t="s">
        <v>77</v>
      </c>
      <c r="L99" s="28" t="s">
        <v>68</v>
      </c>
      <c r="M99" s="29">
        <f t="shared" si="1"/>
        <v>0.72</v>
      </c>
      <c r="N99" s="74">
        <v>0.3</v>
      </c>
      <c r="O99" s="74"/>
      <c r="P99" s="30">
        <v>0.15</v>
      </c>
      <c r="Q99" s="54">
        <v>0.5</v>
      </c>
      <c r="R99" s="30"/>
      <c r="S99" s="30"/>
      <c r="T99" s="55">
        <v>1.55</v>
      </c>
      <c r="U99" s="31"/>
      <c r="V99" s="31"/>
      <c r="W99" s="38">
        <f>Table132[[#This Row],[Suma lab]]+Table132[[#This Row],[Q1]]+Table132[[#This Row],[Q2]]+MAX(Table132[[#This Row],[Partial]:[re2p]])+MAX(Table132[[#This Row],[Final]:[re2f]])</f>
        <v>3.0700000000000003</v>
      </c>
      <c r="X99" s="70">
        <f>IF(Table132[[#This Row],[Total]]&gt;=9.5, 10, ROUND(Table132[[#This Row],[Total]],0))</f>
        <v>3</v>
      </c>
      <c r="Y99" s="28"/>
      <c r="Z99" s="28"/>
      <c r="AA99" s="65"/>
    </row>
    <row r="100" spans="1:27" ht="14.25" customHeight="1">
      <c r="A100" s="26">
        <v>14</v>
      </c>
      <c r="B100" s="32">
        <v>98</v>
      </c>
      <c r="C100" s="42">
        <v>30224</v>
      </c>
      <c r="D100" s="73" t="s">
        <v>166</v>
      </c>
      <c r="E100" s="26" t="s">
        <v>20</v>
      </c>
      <c r="F100" s="27" t="s">
        <v>68</v>
      </c>
      <c r="G100" s="28">
        <v>0.6</v>
      </c>
      <c r="H100" s="28">
        <v>0.42</v>
      </c>
      <c r="I100" s="28">
        <v>0.45</v>
      </c>
      <c r="J100" s="28">
        <v>0.32</v>
      </c>
      <c r="K100" s="28">
        <v>0.45</v>
      </c>
      <c r="L100" s="28" t="s">
        <v>68</v>
      </c>
      <c r="M100" s="29">
        <f t="shared" si="1"/>
        <v>2.2400000000000002</v>
      </c>
      <c r="N100" s="74">
        <v>0.25</v>
      </c>
      <c r="O100" s="74"/>
      <c r="P100" s="30">
        <v>2.1</v>
      </c>
      <c r="Q100" s="54"/>
      <c r="R100" s="30"/>
      <c r="S100" s="30"/>
      <c r="T100" s="55">
        <v>4.1500000000000004</v>
      </c>
      <c r="U100" s="31"/>
      <c r="V100" s="31"/>
      <c r="W100" s="38">
        <f>Table132[[#This Row],[Suma lab]]+Table132[[#This Row],[Q1]]+Table132[[#This Row],[Q2]]+MAX(Table132[[#This Row],[Partial]:[re2p]])+MAX(Table132[[#This Row],[Final]:[re2f]])</f>
        <v>8.74</v>
      </c>
      <c r="X100" s="70">
        <f>IF(Table132[[#This Row],[Total]]&gt;=9.5, 10, ROUND(Table132[[#This Row],[Total]],0))</f>
        <v>9</v>
      </c>
      <c r="Y100" s="28"/>
      <c r="Z100" s="28"/>
      <c r="AA100" s="65"/>
    </row>
    <row r="101" spans="1:27" ht="14.25" customHeight="1">
      <c r="A101" s="26">
        <v>15</v>
      </c>
      <c r="B101" s="32">
        <v>99</v>
      </c>
      <c r="C101" s="42">
        <v>30224</v>
      </c>
      <c r="D101" s="73" t="s">
        <v>167</v>
      </c>
      <c r="E101" s="26" t="s">
        <v>20</v>
      </c>
      <c r="F101" s="27" t="s">
        <v>68</v>
      </c>
      <c r="G101" s="28">
        <v>0.6</v>
      </c>
      <c r="H101" s="28">
        <v>0.6</v>
      </c>
      <c r="I101" s="28">
        <v>0.6</v>
      </c>
      <c r="J101" s="28">
        <v>0.5</v>
      </c>
      <c r="K101" s="28">
        <v>0.6</v>
      </c>
      <c r="L101" s="28" t="s">
        <v>68</v>
      </c>
      <c r="M101" s="29">
        <f t="shared" si="1"/>
        <v>2.9</v>
      </c>
      <c r="N101" s="74">
        <v>0.2</v>
      </c>
      <c r="O101" s="74">
        <v>0.5</v>
      </c>
      <c r="P101" s="30">
        <v>1.3</v>
      </c>
      <c r="Q101" s="54"/>
      <c r="R101" s="30"/>
      <c r="S101" s="30"/>
      <c r="T101" s="55"/>
      <c r="U101" s="31"/>
      <c r="V101" s="31"/>
      <c r="W101" s="38">
        <f>Table132[[#This Row],[Suma lab]]+Table132[[#This Row],[Q1]]+Table132[[#This Row],[Q2]]+MAX(Table132[[#This Row],[Partial]:[re2p]])+MAX(Table132[[#This Row],[Final]:[re2f]])</f>
        <v>4.9000000000000004</v>
      </c>
      <c r="X101" s="78">
        <f>IF(Table132[[#This Row],[Total]]&gt;=9.5, 10, ROUND(Table132[[#This Row],[Total]],0))</f>
        <v>5</v>
      </c>
      <c r="Y101" s="28"/>
      <c r="Z101" s="28"/>
      <c r="AA101" s="65" t="s">
        <v>168</v>
      </c>
    </row>
    <row r="102" spans="1:27" ht="14.25" customHeight="1">
      <c r="A102" s="26">
        <v>16</v>
      </c>
      <c r="B102" s="32">
        <v>100</v>
      </c>
      <c r="C102" s="42">
        <v>30224</v>
      </c>
      <c r="D102" s="73" t="s">
        <v>169</v>
      </c>
      <c r="E102" s="26" t="s">
        <v>20</v>
      </c>
      <c r="F102" s="27" t="s">
        <v>68</v>
      </c>
      <c r="G102" s="28">
        <v>0.4</v>
      </c>
      <c r="H102" s="28">
        <v>0.4</v>
      </c>
      <c r="I102" s="28">
        <v>0.4</v>
      </c>
      <c r="J102" s="28">
        <v>0.42</v>
      </c>
      <c r="K102" s="28">
        <v>0.15</v>
      </c>
      <c r="L102" s="28" t="s">
        <v>68</v>
      </c>
      <c r="M102" s="29">
        <f t="shared" si="1"/>
        <v>1.77</v>
      </c>
      <c r="N102" s="74">
        <v>0.25</v>
      </c>
      <c r="O102" s="74"/>
      <c r="P102" s="30">
        <v>1.3</v>
      </c>
      <c r="Q102" s="54">
        <v>0</v>
      </c>
      <c r="R102" s="30"/>
      <c r="S102" s="30"/>
      <c r="T102" s="55">
        <v>5</v>
      </c>
      <c r="U102" s="31"/>
      <c r="V102" s="31"/>
      <c r="W102" s="38">
        <f>Table132[[#This Row],[Suma lab]]+Table132[[#This Row],[Q1]]+Table132[[#This Row],[Q2]]+MAX(Table132[[#This Row],[Partial]:[re2p]])+MAX(Table132[[#This Row],[Final]:[re2f]])</f>
        <v>8.32</v>
      </c>
      <c r="X102" s="70">
        <f>IF(Table132[[#This Row],[Total]]&gt;=9.5, 10, ROUND(Table132[[#This Row],[Total]],0))</f>
        <v>8</v>
      </c>
      <c r="Y102" s="28"/>
      <c r="Z102" s="28"/>
      <c r="AA102" s="65"/>
    </row>
    <row r="103" spans="1:27" ht="14.25" customHeight="1">
      <c r="A103" s="26">
        <v>17</v>
      </c>
      <c r="B103" s="32">
        <v>101</v>
      </c>
      <c r="C103" s="42">
        <v>30224</v>
      </c>
      <c r="D103" s="73" t="s">
        <v>170</v>
      </c>
      <c r="E103" s="26" t="s">
        <v>21</v>
      </c>
      <c r="F103" s="27" t="s">
        <v>68</v>
      </c>
      <c r="G103" s="28">
        <v>0.5</v>
      </c>
      <c r="H103" s="28">
        <v>0.5</v>
      </c>
      <c r="I103" s="28">
        <v>0.45</v>
      </c>
      <c r="J103" s="28">
        <v>0.6</v>
      </c>
      <c r="K103" s="28">
        <v>0.3</v>
      </c>
      <c r="L103" s="28" t="s">
        <v>68</v>
      </c>
      <c r="M103" s="29">
        <f t="shared" si="1"/>
        <v>2.3499999999999996</v>
      </c>
      <c r="N103" s="74">
        <v>0.05</v>
      </c>
      <c r="O103" s="74">
        <v>0.4</v>
      </c>
      <c r="P103" s="30">
        <v>1.8</v>
      </c>
      <c r="Q103" s="54">
        <v>1.3</v>
      </c>
      <c r="R103" s="30"/>
      <c r="S103" s="30"/>
      <c r="T103" s="55">
        <v>3.3</v>
      </c>
      <c r="U103" s="31"/>
      <c r="V103" s="31"/>
      <c r="W103" s="38">
        <f>Table132[[#This Row],[Suma lab]]+Table132[[#This Row],[Q1]]+Table132[[#This Row],[Q2]]+MAX(Table132[[#This Row],[Partial]:[re2p]])+MAX(Table132[[#This Row],[Final]:[re2f]])</f>
        <v>7.8999999999999995</v>
      </c>
      <c r="X103" s="70">
        <f>IF(Table132[[#This Row],[Total]]&gt;=9.5, 10, ROUND(Table132[[#This Row],[Total]],0))</f>
        <v>8</v>
      </c>
      <c r="Y103" s="28"/>
      <c r="Z103" s="28"/>
      <c r="AA103" s="65"/>
    </row>
    <row r="104" spans="1:27" ht="14.25" customHeight="1">
      <c r="A104" s="26">
        <v>18</v>
      </c>
      <c r="B104" s="32">
        <v>102</v>
      </c>
      <c r="C104" s="42">
        <v>30224</v>
      </c>
      <c r="D104" s="73" t="s">
        <v>171</v>
      </c>
      <c r="E104" s="26" t="s">
        <v>21</v>
      </c>
      <c r="F104" s="27" t="s">
        <v>68</v>
      </c>
      <c r="G104" s="28">
        <v>0.4</v>
      </c>
      <c r="H104" s="28">
        <v>0.6</v>
      </c>
      <c r="I104" s="28">
        <v>0.55000000000000004</v>
      </c>
      <c r="J104" s="28">
        <v>0.34</v>
      </c>
      <c r="K104" s="28">
        <v>0.4</v>
      </c>
      <c r="L104" s="28" t="s">
        <v>68</v>
      </c>
      <c r="M104" s="29">
        <f t="shared" si="1"/>
        <v>2.29</v>
      </c>
      <c r="N104" s="74">
        <v>0.2</v>
      </c>
      <c r="O104" s="74">
        <v>0.25</v>
      </c>
      <c r="P104" s="30">
        <v>2.2999999999999998</v>
      </c>
      <c r="Q104" s="54"/>
      <c r="R104" s="30"/>
      <c r="S104" s="30"/>
      <c r="T104" s="55">
        <v>5.0999999999999996</v>
      </c>
      <c r="U104" s="31"/>
      <c r="V104" s="31"/>
      <c r="W104" s="38">
        <f>Table132[[#This Row],[Suma lab]]+Table132[[#This Row],[Q1]]+Table132[[#This Row],[Q2]]+MAX(Table132[[#This Row],[Partial]:[re2p]])+MAX(Table132[[#This Row],[Final]:[re2f]])</f>
        <v>10.14</v>
      </c>
      <c r="X104" s="70">
        <f>IF(Table132[[#This Row],[Total]]&gt;=9.5, 10, ROUND(Table132[[#This Row],[Total]],0))</f>
        <v>10</v>
      </c>
      <c r="Y104" s="28"/>
      <c r="Z104" s="28"/>
      <c r="AA104" s="65"/>
    </row>
    <row r="105" spans="1:27" ht="14.25" customHeight="1">
      <c r="A105" s="26">
        <v>19</v>
      </c>
      <c r="B105" s="32">
        <v>103</v>
      </c>
      <c r="C105" s="42">
        <v>30224</v>
      </c>
      <c r="D105" s="73" t="s">
        <v>172</v>
      </c>
      <c r="E105" s="26" t="s">
        <v>21</v>
      </c>
      <c r="F105" s="27" t="s">
        <v>68</v>
      </c>
      <c r="G105" s="28">
        <v>0</v>
      </c>
      <c r="H105" s="28">
        <v>0.2</v>
      </c>
      <c r="I105" s="28">
        <v>0.02</v>
      </c>
      <c r="J105" s="28">
        <v>0.22</v>
      </c>
      <c r="K105" s="28">
        <v>0.05</v>
      </c>
      <c r="L105" s="28" t="s">
        <v>68</v>
      </c>
      <c r="M105" s="29">
        <f t="shared" si="1"/>
        <v>0.49</v>
      </c>
      <c r="N105" s="74">
        <v>0.3</v>
      </c>
      <c r="O105" s="74"/>
      <c r="P105" s="30">
        <v>0.5</v>
      </c>
      <c r="Q105" s="54">
        <v>1.9</v>
      </c>
      <c r="R105" s="30"/>
      <c r="S105" s="30"/>
      <c r="T105" s="55">
        <v>3.3</v>
      </c>
      <c r="U105" s="31"/>
      <c r="V105" s="31"/>
      <c r="W105" s="38">
        <f>Table132[[#This Row],[Suma lab]]+Table132[[#This Row],[Q1]]+Table132[[#This Row],[Q2]]+MAX(Table132[[#This Row],[Partial]:[re2p]])+MAX(Table132[[#This Row],[Final]:[re2f]])</f>
        <v>5.99</v>
      </c>
      <c r="X105" s="70">
        <f>IF(Table132[[#This Row],[Total]]&gt;=9.5, 10, ROUND(Table132[[#This Row],[Total]],0))</f>
        <v>6</v>
      </c>
      <c r="Y105" s="28"/>
      <c r="Z105" s="28"/>
      <c r="AA105" s="65"/>
    </row>
    <row r="106" spans="1:27" ht="14.25" customHeight="1">
      <c r="A106" s="26">
        <v>20</v>
      </c>
      <c r="B106" s="32">
        <v>104</v>
      </c>
      <c r="C106" s="42">
        <v>30224</v>
      </c>
      <c r="D106" s="73" t="s">
        <v>173</v>
      </c>
      <c r="E106" s="26" t="s">
        <v>21</v>
      </c>
      <c r="F106" s="27" t="s">
        <v>68</v>
      </c>
      <c r="G106" s="28">
        <v>0.45</v>
      </c>
      <c r="H106" s="28">
        <v>0.5</v>
      </c>
      <c r="I106" s="28">
        <v>0.55000000000000004</v>
      </c>
      <c r="J106" s="28">
        <v>0.45</v>
      </c>
      <c r="K106" s="28">
        <v>0.5</v>
      </c>
      <c r="L106" s="28" t="s">
        <v>68</v>
      </c>
      <c r="M106" s="29">
        <f t="shared" si="1"/>
        <v>2.4500000000000002</v>
      </c>
      <c r="N106" s="74">
        <v>0.5</v>
      </c>
      <c r="O106" s="74"/>
      <c r="P106" s="30">
        <v>1.4</v>
      </c>
      <c r="Q106" s="54">
        <v>0</v>
      </c>
      <c r="R106" s="30"/>
      <c r="S106" s="30"/>
      <c r="T106" s="55">
        <v>1.2</v>
      </c>
      <c r="U106" s="31"/>
      <c r="V106" s="31"/>
      <c r="W106" s="38">
        <f>Table132[[#This Row],[Suma lab]]+Table132[[#This Row],[Q1]]+Table132[[#This Row],[Q2]]+MAX(Table132[[#This Row],[Partial]:[re2p]])+MAX(Table132[[#This Row],[Final]:[re2f]])</f>
        <v>5.55</v>
      </c>
      <c r="X106" s="70">
        <f>IF(Table132[[#This Row],[Total]]&gt;=9.5, 10, ROUND(Table132[[#This Row],[Total]],0))</f>
        <v>6</v>
      </c>
      <c r="Y106" s="28"/>
      <c r="Z106" s="28"/>
      <c r="AA106" s="65"/>
    </row>
    <row r="107" spans="1:27" ht="14.25" customHeight="1">
      <c r="A107" s="26">
        <v>21</v>
      </c>
      <c r="B107" s="32">
        <v>105</v>
      </c>
      <c r="C107" s="42">
        <v>30224</v>
      </c>
      <c r="D107" s="73" t="s">
        <v>174</v>
      </c>
      <c r="E107" s="26" t="s">
        <v>21</v>
      </c>
      <c r="F107" s="27" t="s">
        <v>68</v>
      </c>
      <c r="G107" s="28">
        <v>0</v>
      </c>
      <c r="H107" s="28">
        <v>0.2</v>
      </c>
      <c r="I107" s="28">
        <v>0.02</v>
      </c>
      <c r="J107" s="28">
        <v>0.1</v>
      </c>
      <c r="K107" s="28">
        <v>0.05</v>
      </c>
      <c r="L107" s="28" t="s">
        <v>68</v>
      </c>
      <c r="M107" s="29">
        <f t="shared" si="1"/>
        <v>0.37</v>
      </c>
      <c r="N107" s="74"/>
      <c r="O107" s="74"/>
      <c r="P107" s="30">
        <v>0.35</v>
      </c>
      <c r="Q107" s="54">
        <v>0</v>
      </c>
      <c r="R107" s="30"/>
      <c r="S107" s="30"/>
      <c r="T107" s="55">
        <v>0.8</v>
      </c>
      <c r="U107" s="31"/>
      <c r="V107" s="31"/>
      <c r="W107" s="38">
        <f>Table132[[#This Row],[Suma lab]]+Table132[[#This Row],[Q1]]+Table132[[#This Row],[Q2]]+MAX(Table132[[#This Row],[Partial]:[re2p]])+MAX(Table132[[#This Row],[Final]:[re2f]])</f>
        <v>1.52</v>
      </c>
      <c r="X107" s="70">
        <f>IF(Table132[[#This Row],[Total]]&gt;=9.5, 10, ROUND(Table132[[#This Row],[Total]],0))</f>
        <v>2</v>
      </c>
      <c r="Y107" s="28"/>
      <c r="Z107" s="28"/>
      <c r="AA107" s="65"/>
    </row>
    <row r="108" spans="1:27" ht="14.25" customHeight="1">
      <c r="A108" s="26">
        <v>22</v>
      </c>
      <c r="B108" s="32">
        <v>106</v>
      </c>
      <c r="C108" s="42">
        <v>30224</v>
      </c>
      <c r="D108" s="73" t="s">
        <v>175</v>
      </c>
      <c r="E108" s="26" t="s">
        <v>21</v>
      </c>
      <c r="F108" s="27" t="s">
        <v>68</v>
      </c>
      <c r="G108" s="28">
        <v>0.1</v>
      </c>
      <c r="H108" s="28">
        <v>0.45</v>
      </c>
      <c r="I108" s="34">
        <v>0.12</v>
      </c>
      <c r="J108" s="34">
        <v>0.6</v>
      </c>
      <c r="K108" s="28">
        <v>0.4</v>
      </c>
      <c r="L108" s="34" t="s">
        <v>68</v>
      </c>
      <c r="M108" s="35">
        <f t="shared" si="1"/>
        <v>1.67</v>
      </c>
      <c r="N108" s="75"/>
      <c r="O108" s="75"/>
      <c r="P108" s="36">
        <v>0.65</v>
      </c>
      <c r="Q108" s="58">
        <v>1.45</v>
      </c>
      <c r="R108" s="36"/>
      <c r="S108" s="36"/>
      <c r="T108" s="59">
        <v>4.5999999999999996</v>
      </c>
      <c r="U108" s="37"/>
      <c r="V108" s="37"/>
      <c r="W108" s="38">
        <f>Table132[[#This Row],[Suma lab]]+Table132[[#This Row],[Q1]]+Table132[[#This Row],[Q2]]+MAX(Table132[[#This Row],[Partial]:[re2p]])+MAX(Table132[[#This Row],[Final]:[re2f]])</f>
        <v>7.72</v>
      </c>
      <c r="X108" s="70">
        <f>IF(Table132[[#This Row],[Total]]&gt;=9.5, 10, ROUND(Table132[[#This Row],[Total]],0))</f>
        <v>8</v>
      </c>
      <c r="Y108" s="34"/>
      <c r="Z108" s="34"/>
      <c r="AA108" s="66"/>
    </row>
    <row r="109" spans="1:27" ht="14.25" customHeight="1">
      <c r="A109" s="26">
        <v>23</v>
      </c>
      <c r="B109" s="32">
        <v>107</v>
      </c>
      <c r="C109" s="42">
        <v>30224</v>
      </c>
      <c r="D109" s="73" t="s">
        <v>176</v>
      </c>
      <c r="E109" s="26" t="s">
        <v>21</v>
      </c>
      <c r="F109" s="27" t="s">
        <v>68</v>
      </c>
      <c r="G109" s="28">
        <v>0.1</v>
      </c>
      <c r="H109" s="28">
        <v>0.5</v>
      </c>
      <c r="I109" s="28">
        <v>0.3</v>
      </c>
      <c r="J109" s="28">
        <v>0.12</v>
      </c>
      <c r="K109" s="28" t="s">
        <v>77</v>
      </c>
      <c r="L109" s="28" t="s">
        <v>68</v>
      </c>
      <c r="M109" s="29">
        <f t="shared" si="1"/>
        <v>1.02</v>
      </c>
      <c r="N109" s="74">
        <v>0.3</v>
      </c>
      <c r="O109" s="74">
        <v>0.5</v>
      </c>
      <c r="P109" s="30">
        <v>1.8</v>
      </c>
      <c r="Q109" s="54">
        <v>0</v>
      </c>
      <c r="R109" s="30"/>
      <c r="S109" s="30"/>
      <c r="T109" s="55">
        <v>3.5</v>
      </c>
      <c r="U109" s="31"/>
      <c r="V109" s="31"/>
      <c r="W109" s="38">
        <f>Table132[[#This Row],[Suma lab]]+Table132[[#This Row],[Q1]]+Table132[[#This Row],[Q2]]+MAX(Table132[[#This Row],[Partial]:[re2p]])+MAX(Table132[[#This Row],[Final]:[re2f]])</f>
        <v>7.12</v>
      </c>
      <c r="X109" s="70">
        <f>IF(Table132[[#This Row],[Total]]&gt;=9.5, 10, ROUND(Table132[[#This Row],[Total]],0))</f>
        <v>7</v>
      </c>
      <c r="Y109" s="28"/>
      <c r="Z109" s="28"/>
      <c r="AA109" s="65"/>
    </row>
    <row r="110" spans="1:27" ht="14.25" customHeight="1">
      <c r="A110" s="26">
        <v>24</v>
      </c>
      <c r="B110" s="32">
        <v>108</v>
      </c>
      <c r="C110" s="42">
        <v>30224</v>
      </c>
      <c r="D110" s="73" t="s">
        <v>177</v>
      </c>
      <c r="E110" s="26" t="s">
        <v>21</v>
      </c>
      <c r="F110" s="27" t="s">
        <v>68</v>
      </c>
      <c r="G110" s="28">
        <v>0.45</v>
      </c>
      <c r="H110" s="28">
        <v>0.55000000000000004</v>
      </c>
      <c r="I110" s="28">
        <v>0.45</v>
      </c>
      <c r="J110" s="28">
        <v>0.4</v>
      </c>
      <c r="K110" s="28">
        <v>0.4</v>
      </c>
      <c r="L110" s="28" t="s">
        <v>68</v>
      </c>
      <c r="M110" s="29">
        <f t="shared" si="1"/>
        <v>2.25</v>
      </c>
      <c r="N110" s="74">
        <v>0.1</v>
      </c>
      <c r="O110" s="74"/>
      <c r="P110" s="30">
        <v>1.95</v>
      </c>
      <c r="Q110" s="54"/>
      <c r="R110" s="30"/>
      <c r="S110" s="30"/>
      <c r="T110" s="55">
        <v>2.6</v>
      </c>
      <c r="U110" s="31"/>
      <c r="V110" s="31"/>
      <c r="W110" s="38">
        <f>Table132[[#This Row],[Suma lab]]+Table132[[#This Row],[Q1]]+Table132[[#This Row],[Q2]]+MAX(Table132[[#This Row],[Partial]:[re2p]])+MAX(Table132[[#This Row],[Final]:[re2f]])</f>
        <v>6.9</v>
      </c>
      <c r="X110" s="70">
        <f>IF(Table132[[#This Row],[Total]]&gt;=9.5, 10, ROUND(Table132[[#This Row],[Total]],0))</f>
        <v>7</v>
      </c>
      <c r="Y110" s="28"/>
      <c r="Z110" s="28"/>
      <c r="AA110" s="65"/>
    </row>
    <row r="111" spans="1:27" ht="14.25" customHeight="1">
      <c r="A111" s="26">
        <v>25</v>
      </c>
      <c r="B111" s="32">
        <v>109</v>
      </c>
      <c r="C111" s="42">
        <v>30224</v>
      </c>
      <c r="D111" s="73" t="s">
        <v>178</v>
      </c>
      <c r="E111" s="26" t="s">
        <v>21</v>
      </c>
      <c r="F111" s="27" t="s">
        <v>68</v>
      </c>
      <c r="G111" s="28">
        <v>0.2</v>
      </c>
      <c r="H111" s="28">
        <v>0.45</v>
      </c>
      <c r="I111" s="28">
        <v>0.3</v>
      </c>
      <c r="J111" s="28">
        <v>0.4</v>
      </c>
      <c r="K111" s="28">
        <v>0.3</v>
      </c>
      <c r="L111" s="28" t="s">
        <v>68</v>
      </c>
      <c r="M111" s="29">
        <f t="shared" si="1"/>
        <v>1.6500000000000001</v>
      </c>
      <c r="N111" s="74">
        <v>0.3</v>
      </c>
      <c r="O111" s="74">
        <v>0.5</v>
      </c>
      <c r="P111" s="30">
        <v>2.1</v>
      </c>
      <c r="Q111" s="54"/>
      <c r="R111" s="30"/>
      <c r="S111" s="30"/>
      <c r="T111" s="55"/>
      <c r="U111" s="31"/>
      <c r="V111" s="31"/>
      <c r="W111" s="38">
        <f>Table132[[#This Row],[Suma lab]]+Table132[[#This Row],[Q1]]+Table132[[#This Row],[Q2]]+MAX(Table132[[#This Row],[Partial]:[re2p]])+MAX(Table132[[#This Row],[Final]:[re2f]])</f>
        <v>4.5500000000000007</v>
      </c>
      <c r="X111" s="78">
        <f>IF(Table132[[#This Row],[Total]]&gt;=9.5, 10, ROUND(Table132[[#This Row],[Total]],0))</f>
        <v>5</v>
      </c>
      <c r="Y111" s="28"/>
      <c r="Z111" s="28"/>
      <c r="AA111" s="65" t="s">
        <v>168</v>
      </c>
    </row>
    <row r="112" spans="1:27" ht="14.25" customHeight="1">
      <c r="A112" s="26">
        <v>26</v>
      </c>
      <c r="B112" s="32">
        <v>110</v>
      </c>
      <c r="C112" s="42">
        <v>30224</v>
      </c>
      <c r="D112" s="73" t="s">
        <v>179</v>
      </c>
      <c r="E112" s="26" t="s">
        <v>21</v>
      </c>
      <c r="F112" s="27" t="s">
        <v>68</v>
      </c>
      <c r="G112" s="28">
        <v>0</v>
      </c>
      <c r="H112" s="28">
        <v>0.2</v>
      </c>
      <c r="I112" s="28">
        <v>0</v>
      </c>
      <c r="J112" s="28">
        <v>0.42</v>
      </c>
      <c r="K112" s="28"/>
      <c r="L112" s="28"/>
      <c r="M112" s="29">
        <f t="shared" si="1"/>
        <v>0.62</v>
      </c>
      <c r="N112" s="74"/>
      <c r="O112" s="74"/>
      <c r="P112" s="30">
        <v>0.15</v>
      </c>
      <c r="Q112" s="54">
        <v>2.2999999999999998</v>
      </c>
      <c r="R112" s="30"/>
      <c r="S112" s="30"/>
      <c r="T112" s="55">
        <v>1</v>
      </c>
      <c r="U112" s="31"/>
      <c r="V112" s="31"/>
      <c r="W112" s="38">
        <f>Table132[[#This Row],[Suma lab]]+Table132[[#This Row],[Q1]]+Table132[[#This Row],[Q2]]+MAX(Table132[[#This Row],[Partial]:[re2p]])+MAX(Table132[[#This Row],[Final]:[re2f]])</f>
        <v>3.92</v>
      </c>
      <c r="X112" s="70">
        <f>IF(Table132[[#This Row],[Total]]&gt;=9.5, 10, ROUND(Table132[[#This Row],[Total]],0))</f>
        <v>4</v>
      </c>
      <c r="Y112" s="28"/>
      <c r="Z112" s="28"/>
      <c r="AA112" s="65"/>
    </row>
    <row r="113" spans="1:27" ht="14.25" customHeight="1">
      <c r="A113" s="26">
        <v>27</v>
      </c>
      <c r="B113" s="32">
        <v>111</v>
      </c>
      <c r="C113" s="42">
        <v>30224</v>
      </c>
      <c r="D113" s="73" t="s">
        <v>180</v>
      </c>
      <c r="E113" s="26" t="s">
        <v>15</v>
      </c>
      <c r="F113" s="27" t="s">
        <v>68</v>
      </c>
      <c r="G113" s="28">
        <v>0.3</v>
      </c>
      <c r="H113" s="28">
        <v>0.3</v>
      </c>
      <c r="I113" s="28">
        <v>0.4</v>
      </c>
      <c r="J113" s="28">
        <v>0.15</v>
      </c>
      <c r="K113" s="28">
        <v>0.35</v>
      </c>
      <c r="L113" s="28" t="s">
        <v>68</v>
      </c>
      <c r="M113" s="29">
        <f t="shared" si="1"/>
        <v>1.5</v>
      </c>
      <c r="N113" s="74">
        <v>0.3</v>
      </c>
      <c r="O113" s="74">
        <v>0.5</v>
      </c>
      <c r="P113" s="30">
        <v>0.9</v>
      </c>
      <c r="Q113" s="54">
        <v>0.8</v>
      </c>
      <c r="R113" s="30"/>
      <c r="S113" s="30"/>
      <c r="T113" s="55">
        <v>1.75</v>
      </c>
      <c r="U113" s="31"/>
      <c r="V113" s="31"/>
      <c r="W113" s="38">
        <f>Table132[[#This Row],[Suma lab]]+Table132[[#This Row],[Q1]]+Table132[[#This Row],[Q2]]+MAX(Table132[[#This Row],[Partial]:[re2p]])+MAX(Table132[[#This Row],[Final]:[re2f]])</f>
        <v>4.9499999999999993</v>
      </c>
      <c r="X113" s="70">
        <f>IF(Table132[[#This Row],[Total]]&gt;=9.5, 10, ROUND(Table132[[#This Row],[Total]],0))</f>
        <v>5</v>
      </c>
      <c r="Y113" s="28"/>
      <c r="Z113" s="28"/>
      <c r="AA113" s="65"/>
    </row>
    <row r="114" spans="1:27" ht="14.25" customHeight="1">
      <c r="A114" s="26">
        <v>28</v>
      </c>
      <c r="B114" s="32">
        <v>112</v>
      </c>
      <c r="C114" s="42">
        <v>30224</v>
      </c>
      <c r="D114" s="73" t="s">
        <v>181</v>
      </c>
      <c r="E114" s="26" t="s">
        <v>21</v>
      </c>
      <c r="F114" s="27" t="s">
        <v>68</v>
      </c>
      <c r="G114" s="28">
        <v>0.06</v>
      </c>
      <c r="H114" s="28">
        <v>0.05</v>
      </c>
      <c r="I114" s="28">
        <v>0.1</v>
      </c>
      <c r="J114" s="28">
        <v>0.6</v>
      </c>
      <c r="K114" s="28">
        <v>0.05</v>
      </c>
      <c r="L114" s="28" t="s">
        <v>68</v>
      </c>
      <c r="M114" s="29">
        <f t="shared" si="1"/>
        <v>0.8600000000000001</v>
      </c>
      <c r="N114" s="74">
        <v>0.15</v>
      </c>
      <c r="O114" s="74"/>
      <c r="P114" s="30">
        <v>2.7</v>
      </c>
      <c r="Q114" s="54"/>
      <c r="R114" s="30"/>
      <c r="S114" s="30"/>
      <c r="T114" s="55">
        <v>1.95</v>
      </c>
      <c r="U114" s="31"/>
      <c r="V114" s="31"/>
      <c r="W114" s="38">
        <f>Table132[[#This Row],[Suma lab]]+Table132[[#This Row],[Q1]]+Table132[[#This Row],[Q2]]+MAX(Table132[[#This Row],[Partial]:[re2p]])+MAX(Table132[[#This Row],[Final]:[re2f]])</f>
        <v>5.66</v>
      </c>
      <c r="X114" s="70">
        <f>IF(Table132[[#This Row],[Total]]&gt;=9.5, 10, ROUND(Table132[[#This Row],[Total]],0))</f>
        <v>6</v>
      </c>
      <c r="Y114" s="28"/>
      <c r="Z114" s="28"/>
      <c r="AA114" s="65"/>
    </row>
    <row r="115" spans="1:27" ht="14.25" customHeight="1">
      <c r="A115" s="26">
        <v>29</v>
      </c>
      <c r="B115" s="32">
        <v>113</v>
      </c>
      <c r="C115" s="42">
        <v>30224</v>
      </c>
      <c r="D115" s="73" t="s">
        <v>182</v>
      </c>
      <c r="E115" s="26" t="s">
        <v>21</v>
      </c>
      <c r="F115" s="27" t="s">
        <v>68</v>
      </c>
      <c r="G115" s="28">
        <v>0.55000000000000004</v>
      </c>
      <c r="H115" s="28">
        <v>0.45</v>
      </c>
      <c r="I115" s="28">
        <v>0.6</v>
      </c>
      <c r="J115" s="28">
        <v>0.6</v>
      </c>
      <c r="K115" s="28">
        <v>0.45</v>
      </c>
      <c r="L115" s="28" t="s">
        <v>68</v>
      </c>
      <c r="M115" s="29">
        <f t="shared" si="1"/>
        <v>2.6500000000000004</v>
      </c>
      <c r="N115" s="74">
        <v>0.5</v>
      </c>
      <c r="O115" s="74"/>
      <c r="P115" s="30">
        <v>1.2</v>
      </c>
      <c r="Q115" s="54">
        <v>1.9</v>
      </c>
      <c r="R115" s="30"/>
      <c r="S115" s="30"/>
      <c r="T115" s="55">
        <v>2.8</v>
      </c>
      <c r="U115" s="31"/>
      <c r="V115" s="31"/>
      <c r="W115" s="38">
        <f>Table132[[#This Row],[Suma lab]]+Table132[[#This Row],[Q1]]+Table132[[#This Row],[Q2]]+MAX(Table132[[#This Row],[Partial]:[re2p]])+MAX(Table132[[#This Row],[Final]:[re2f]])</f>
        <v>7.8500000000000005</v>
      </c>
      <c r="X115" s="70">
        <f>IF(Table132[[#This Row],[Total]]&gt;=9.5, 10, ROUND(Table132[[#This Row],[Total]],0))</f>
        <v>8</v>
      </c>
      <c r="Y115" s="28"/>
      <c r="Z115" s="28"/>
      <c r="AA115" s="65"/>
    </row>
    <row r="116" spans="1:27" ht="14.25" customHeight="1">
      <c r="A116" s="26">
        <v>1</v>
      </c>
      <c r="B116" s="32">
        <v>114</v>
      </c>
      <c r="C116" s="41">
        <v>30225</v>
      </c>
      <c r="D116" s="73" t="s">
        <v>183</v>
      </c>
      <c r="E116" s="26" t="s">
        <v>22</v>
      </c>
      <c r="F116" s="27" t="s">
        <v>68</v>
      </c>
      <c r="G116" s="28">
        <v>0.6</v>
      </c>
      <c r="H116" s="28">
        <v>0.6</v>
      </c>
      <c r="I116" s="28">
        <v>0.4</v>
      </c>
      <c r="J116" s="28">
        <v>0.5</v>
      </c>
      <c r="K116" s="28">
        <v>0.6</v>
      </c>
      <c r="L116" s="28" t="s">
        <v>68</v>
      </c>
      <c r="M116" s="29">
        <f t="shared" si="1"/>
        <v>2.7</v>
      </c>
      <c r="N116" s="74">
        <v>0.3</v>
      </c>
      <c r="O116" s="74"/>
      <c r="P116" s="30">
        <v>2.7</v>
      </c>
      <c r="Q116" s="54"/>
      <c r="R116" s="30"/>
      <c r="S116" s="30"/>
      <c r="T116" s="55">
        <v>5.2</v>
      </c>
      <c r="U116" s="31"/>
      <c r="V116" s="31"/>
      <c r="W116" s="38">
        <f>Table132[[#This Row],[Suma lab]]+Table132[[#This Row],[Q1]]+Table132[[#This Row],[Q2]]+MAX(Table132[[#This Row],[Partial]:[re2p]])+MAX(Table132[[#This Row],[Final]:[re2f]])</f>
        <v>10.9</v>
      </c>
      <c r="X116" s="70">
        <f>IF(Table132[[#This Row],[Total]]&gt;=9.5, 10, ROUND(Table132[[#This Row],[Total]],0))</f>
        <v>10</v>
      </c>
      <c r="Y116" s="28"/>
      <c r="Z116" s="28"/>
      <c r="AA116" s="71"/>
    </row>
    <row r="117" spans="1:27" ht="14.25" customHeight="1">
      <c r="A117" s="26">
        <v>2</v>
      </c>
      <c r="B117" s="32">
        <v>115</v>
      </c>
      <c r="C117" s="41">
        <v>30225</v>
      </c>
      <c r="D117" s="73" t="s">
        <v>184</v>
      </c>
      <c r="E117" s="26" t="s">
        <v>22</v>
      </c>
      <c r="F117" s="27" t="s">
        <v>68</v>
      </c>
      <c r="G117" s="28">
        <v>0.5</v>
      </c>
      <c r="H117" s="28">
        <v>0.1</v>
      </c>
      <c r="I117" s="28">
        <v>0.12</v>
      </c>
      <c r="J117" s="28" t="s">
        <v>77</v>
      </c>
      <c r="K117" s="28" t="s">
        <v>77</v>
      </c>
      <c r="L117" s="28" t="s">
        <v>68</v>
      </c>
      <c r="M117" s="29">
        <f t="shared" si="1"/>
        <v>0.72</v>
      </c>
      <c r="N117" s="74">
        <v>0.1</v>
      </c>
      <c r="O117" s="74"/>
      <c r="P117" s="30">
        <v>1.3</v>
      </c>
      <c r="Q117" s="54"/>
      <c r="R117" s="30"/>
      <c r="S117" s="30"/>
      <c r="T117" s="55"/>
      <c r="U117" s="31"/>
      <c r="V117" s="31"/>
      <c r="W117" s="38">
        <f>Table132[[#This Row],[Suma lab]]+Table132[[#This Row],[Q1]]+Table132[[#This Row],[Q2]]+MAX(Table132[[#This Row],[Partial]:[re2p]])+MAX(Table132[[#This Row],[Final]:[re2f]])</f>
        <v>2.12</v>
      </c>
      <c r="X117" s="70">
        <f>IF(Table132[[#This Row],[Total]]&gt;=9.5, 10, ROUND(Table132[[#This Row],[Total]],0))</f>
        <v>2</v>
      </c>
      <c r="Y117" s="28"/>
      <c r="Z117" s="28"/>
      <c r="AA117" s="71"/>
    </row>
    <row r="118" spans="1:27" ht="14.25" customHeight="1">
      <c r="A118" s="26">
        <v>3</v>
      </c>
      <c r="B118" s="32">
        <v>116</v>
      </c>
      <c r="C118" s="41">
        <v>30225</v>
      </c>
      <c r="D118" s="73" t="s">
        <v>185</v>
      </c>
      <c r="E118" s="26" t="s">
        <v>22</v>
      </c>
      <c r="F118" s="27" t="s">
        <v>68</v>
      </c>
      <c r="G118" s="28">
        <v>0.6</v>
      </c>
      <c r="H118" s="28">
        <v>0.6</v>
      </c>
      <c r="I118" s="28">
        <v>0.3</v>
      </c>
      <c r="J118" s="28">
        <v>0.6</v>
      </c>
      <c r="K118" s="28">
        <v>0.4</v>
      </c>
      <c r="L118" s="28" t="s">
        <v>68</v>
      </c>
      <c r="M118" s="29">
        <f t="shared" si="1"/>
        <v>2.5</v>
      </c>
      <c r="N118" s="74"/>
      <c r="O118" s="74"/>
      <c r="P118" s="30">
        <v>1.5</v>
      </c>
      <c r="Q118" s="54"/>
      <c r="R118" s="30"/>
      <c r="S118" s="30"/>
      <c r="T118" s="55">
        <v>4.55</v>
      </c>
      <c r="U118" s="31"/>
      <c r="V118" s="31"/>
      <c r="W118" s="38">
        <f>Table132[[#This Row],[Suma lab]]+Table132[[#This Row],[Q1]]+Table132[[#This Row],[Q2]]+MAX(Table132[[#This Row],[Partial]:[re2p]])+MAX(Table132[[#This Row],[Final]:[re2f]])</f>
        <v>8.5500000000000007</v>
      </c>
      <c r="X118" s="70">
        <f>IF(Table132[[#This Row],[Total]]&gt;=9.5, 10, ROUND(Table132[[#This Row],[Total]],0))</f>
        <v>9</v>
      </c>
      <c r="Y118" s="28"/>
      <c r="Z118" s="28"/>
      <c r="AA118" s="71"/>
    </row>
    <row r="119" spans="1:27" ht="14.25" customHeight="1">
      <c r="A119" s="26">
        <v>4</v>
      </c>
      <c r="B119" s="32">
        <v>117</v>
      </c>
      <c r="C119" s="41">
        <v>30225</v>
      </c>
      <c r="D119" s="73" t="s">
        <v>186</v>
      </c>
      <c r="E119" s="26" t="s">
        <v>22</v>
      </c>
      <c r="F119" s="27" t="s">
        <v>68</v>
      </c>
      <c r="G119" s="28">
        <v>0.4</v>
      </c>
      <c r="H119" s="28">
        <v>0.2</v>
      </c>
      <c r="I119" s="28">
        <v>0.32</v>
      </c>
      <c r="J119" s="28">
        <v>0.22</v>
      </c>
      <c r="K119" s="28">
        <v>0.1</v>
      </c>
      <c r="L119" s="28" t="s">
        <v>68</v>
      </c>
      <c r="M119" s="29">
        <f t="shared" si="1"/>
        <v>1.2400000000000002</v>
      </c>
      <c r="N119" s="74"/>
      <c r="O119" s="74"/>
      <c r="P119" s="30">
        <v>1.05</v>
      </c>
      <c r="Q119" s="54">
        <v>0</v>
      </c>
      <c r="R119" s="30"/>
      <c r="S119" s="30"/>
      <c r="T119" s="55">
        <v>1.4</v>
      </c>
      <c r="U119" s="31"/>
      <c r="V119" s="31"/>
      <c r="W119" s="38">
        <f>Table132[[#This Row],[Suma lab]]+Table132[[#This Row],[Q1]]+Table132[[#This Row],[Q2]]+MAX(Table132[[#This Row],[Partial]:[re2p]])+MAX(Table132[[#This Row],[Final]:[re2f]])</f>
        <v>3.69</v>
      </c>
      <c r="X119" s="70">
        <f>IF(Table132[[#This Row],[Total]]&gt;=9.5, 10, ROUND(Table132[[#This Row],[Total]],0))</f>
        <v>4</v>
      </c>
      <c r="Y119" s="28"/>
      <c r="Z119" s="28"/>
      <c r="AA119" s="71"/>
    </row>
    <row r="120" spans="1:27" ht="14.25" customHeight="1">
      <c r="A120" s="26">
        <v>5</v>
      </c>
      <c r="B120" s="32">
        <v>118</v>
      </c>
      <c r="C120" s="41">
        <v>30225</v>
      </c>
      <c r="D120" s="73" t="s">
        <v>187</v>
      </c>
      <c r="E120" s="26" t="s">
        <v>22</v>
      </c>
      <c r="F120" s="27" t="s">
        <v>68</v>
      </c>
      <c r="G120" s="28">
        <v>0.6</v>
      </c>
      <c r="H120" s="28" t="s">
        <v>77</v>
      </c>
      <c r="I120" s="28">
        <v>0.5</v>
      </c>
      <c r="J120" s="28">
        <v>0.3</v>
      </c>
      <c r="K120" s="28" t="s">
        <v>77</v>
      </c>
      <c r="L120" s="28" t="s">
        <v>68</v>
      </c>
      <c r="M120" s="29">
        <f t="shared" si="1"/>
        <v>1.4000000000000001</v>
      </c>
      <c r="N120" s="74"/>
      <c r="O120" s="74"/>
      <c r="P120" s="30">
        <v>0.6</v>
      </c>
      <c r="Q120" s="54">
        <v>1.8</v>
      </c>
      <c r="R120" s="30"/>
      <c r="S120" s="30"/>
      <c r="T120" s="55">
        <v>2.2999999999999998</v>
      </c>
      <c r="U120" s="31"/>
      <c r="V120" s="31"/>
      <c r="W120" s="38">
        <f>Table132[[#This Row],[Suma lab]]+Table132[[#This Row],[Q1]]+Table132[[#This Row],[Q2]]+MAX(Table132[[#This Row],[Partial]:[re2p]])+MAX(Table132[[#This Row],[Final]:[re2f]])</f>
        <v>5.5</v>
      </c>
      <c r="X120" s="70">
        <f>IF(Table132[[#This Row],[Total]]&gt;=9.5, 10, ROUND(Table132[[#This Row],[Total]],0))</f>
        <v>6</v>
      </c>
      <c r="Y120" s="28"/>
      <c r="Z120" s="28"/>
      <c r="AA120" s="71"/>
    </row>
    <row r="121" spans="1:27" ht="14.25" customHeight="1">
      <c r="A121" s="26">
        <v>6</v>
      </c>
      <c r="B121" s="32">
        <v>119</v>
      </c>
      <c r="C121" s="41">
        <v>30225</v>
      </c>
      <c r="D121" s="73" t="s">
        <v>188</v>
      </c>
      <c r="E121" s="26" t="s">
        <v>22</v>
      </c>
      <c r="F121" s="27" t="s">
        <v>68</v>
      </c>
      <c r="G121" s="28">
        <v>0.4</v>
      </c>
      <c r="H121" s="28">
        <v>0.42</v>
      </c>
      <c r="I121" s="28">
        <v>0.35</v>
      </c>
      <c r="J121" s="28">
        <v>0.3</v>
      </c>
      <c r="K121" s="28">
        <v>0.12</v>
      </c>
      <c r="L121" s="28" t="s">
        <v>68</v>
      </c>
      <c r="M121" s="29">
        <f t="shared" si="1"/>
        <v>1.5899999999999999</v>
      </c>
      <c r="N121" s="74"/>
      <c r="O121" s="74"/>
      <c r="P121" s="30">
        <v>1.9</v>
      </c>
      <c r="Q121" s="54">
        <v>0</v>
      </c>
      <c r="R121" s="30"/>
      <c r="S121" s="30"/>
      <c r="T121" s="55">
        <v>3.6</v>
      </c>
      <c r="U121" s="31"/>
      <c r="V121" s="31"/>
      <c r="W121" s="38">
        <f>Table132[[#This Row],[Suma lab]]+Table132[[#This Row],[Q1]]+Table132[[#This Row],[Q2]]+MAX(Table132[[#This Row],[Partial]:[re2p]])+MAX(Table132[[#This Row],[Final]:[re2f]])</f>
        <v>7.09</v>
      </c>
      <c r="X121" s="70">
        <f>IF(Table132[[#This Row],[Total]]&gt;=9.5, 10, ROUND(Table132[[#This Row],[Total]],0))</f>
        <v>7</v>
      </c>
      <c r="Y121" s="28"/>
      <c r="Z121" s="28"/>
      <c r="AA121" s="65"/>
    </row>
    <row r="122" spans="1:27" ht="14.25" customHeight="1">
      <c r="A122" s="26">
        <v>7</v>
      </c>
      <c r="B122" s="32">
        <v>120</v>
      </c>
      <c r="C122" s="41">
        <v>30225</v>
      </c>
      <c r="D122" s="73" t="s">
        <v>189</v>
      </c>
      <c r="E122" s="26" t="s">
        <v>22</v>
      </c>
      <c r="F122" s="27" t="s">
        <v>68</v>
      </c>
      <c r="G122" s="28">
        <v>0.4</v>
      </c>
      <c r="H122" s="28">
        <v>0.35</v>
      </c>
      <c r="I122" s="28">
        <v>0.05</v>
      </c>
      <c r="J122" s="28">
        <v>0.3</v>
      </c>
      <c r="K122" s="28">
        <v>0.3</v>
      </c>
      <c r="L122" s="28" t="s">
        <v>68</v>
      </c>
      <c r="M122" s="29">
        <f t="shared" si="1"/>
        <v>1.4000000000000001</v>
      </c>
      <c r="N122" s="74">
        <v>0.15</v>
      </c>
      <c r="O122" s="74"/>
      <c r="P122" s="30">
        <v>1.25</v>
      </c>
      <c r="Q122" s="54">
        <v>0</v>
      </c>
      <c r="R122" s="30"/>
      <c r="S122" s="30"/>
      <c r="T122" s="55">
        <v>5.2</v>
      </c>
      <c r="U122" s="31"/>
      <c r="V122" s="31"/>
      <c r="W122" s="38">
        <f>Table132[[#This Row],[Suma lab]]+Table132[[#This Row],[Q1]]+Table132[[#This Row],[Q2]]+MAX(Table132[[#This Row],[Partial]:[re2p]])+MAX(Table132[[#This Row],[Final]:[re2f]])</f>
        <v>8</v>
      </c>
      <c r="X122" s="70">
        <f>IF(Table132[[#This Row],[Total]]&gt;=9.5, 10, ROUND(Table132[[#This Row],[Total]],0))</f>
        <v>8</v>
      </c>
      <c r="Y122" s="28"/>
      <c r="Z122" s="28"/>
      <c r="AA122" s="65"/>
    </row>
    <row r="123" spans="1:27" ht="14.25" customHeight="1">
      <c r="A123" s="26">
        <v>8</v>
      </c>
      <c r="B123" s="32">
        <v>121</v>
      </c>
      <c r="C123" s="41">
        <v>30225</v>
      </c>
      <c r="D123" s="73" t="s">
        <v>190</v>
      </c>
      <c r="E123" s="26" t="s">
        <v>22</v>
      </c>
      <c r="F123" s="27" t="s">
        <v>68</v>
      </c>
      <c r="G123" s="28">
        <v>0.6</v>
      </c>
      <c r="H123" s="28">
        <v>0.42</v>
      </c>
      <c r="I123" s="28">
        <v>0.48</v>
      </c>
      <c r="J123" s="28">
        <v>0.32</v>
      </c>
      <c r="K123" s="28">
        <v>0.6</v>
      </c>
      <c r="L123" s="28" t="s">
        <v>68</v>
      </c>
      <c r="M123" s="29">
        <f t="shared" si="1"/>
        <v>2.42</v>
      </c>
      <c r="N123" s="74">
        <v>0.1</v>
      </c>
      <c r="O123" s="74"/>
      <c r="P123" s="30">
        <v>2.4</v>
      </c>
      <c r="Q123" s="54"/>
      <c r="R123" s="30"/>
      <c r="S123" s="30"/>
      <c r="T123" s="55">
        <v>4.2</v>
      </c>
      <c r="U123" s="31"/>
      <c r="V123" s="31"/>
      <c r="W123" s="38">
        <f>Table132[[#This Row],[Suma lab]]+Table132[[#This Row],[Q1]]+Table132[[#This Row],[Q2]]+MAX(Table132[[#This Row],[Partial]:[re2p]])+MAX(Table132[[#This Row],[Final]:[re2f]])</f>
        <v>9.120000000000001</v>
      </c>
      <c r="X123" s="70">
        <f>IF(Table132[[#This Row],[Total]]&gt;=9.5, 10, ROUND(Table132[[#This Row],[Total]],0))</f>
        <v>9</v>
      </c>
      <c r="Y123" s="28"/>
      <c r="Z123" s="28"/>
      <c r="AA123" s="65"/>
    </row>
    <row r="124" spans="1:27" ht="14.25" customHeight="1">
      <c r="A124" s="26">
        <v>9</v>
      </c>
      <c r="B124" s="32">
        <v>122</v>
      </c>
      <c r="C124" s="41">
        <v>30225</v>
      </c>
      <c r="D124" s="73" t="s">
        <v>191</v>
      </c>
      <c r="E124" s="26" t="s">
        <v>22</v>
      </c>
      <c r="F124" s="27" t="s">
        <v>68</v>
      </c>
      <c r="G124" s="28">
        <v>0.4</v>
      </c>
      <c r="H124" s="28">
        <v>0.6</v>
      </c>
      <c r="I124" s="28">
        <v>0.27</v>
      </c>
      <c r="J124" s="28">
        <v>0.22</v>
      </c>
      <c r="K124" s="28">
        <v>0.6</v>
      </c>
      <c r="L124" s="28" t="s">
        <v>68</v>
      </c>
      <c r="M124" s="29">
        <f t="shared" si="1"/>
        <v>2.09</v>
      </c>
      <c r="N124" s="74">
        <v>0.3</v>
      </c>
      <c r="O124" s="74"/>
      <c r="P124" s="30">
        <v>2</v>
      </c>
      <c r="Q124" s="54"/>
      <c r="R124" s="30"/>
      <c r="S124" s="30"/>
      <c r="T124" s="55">
        <v>2.2999999999999998</v>
      </c>
      <c r="U124" s="31"/>
      <c r="V124" s="31"/>
      <c r="W124" s="38">
        <f>Table132[[#This Row],[Suma lab]]+Table132[[#This Row],[Q1]]+Table132[[#This Row],[Q2]]+MAX(Table132[[#This Row],[Partial]:[re2p]])+MAX(Table132[[#This Row],[Final]:[re2f]])</f>
        <v>6.6899999999999995</v>
      </c>
      <c r="X124" s="70">
        <f>IF(Table132[[#This Row],[Total]]&gt;=9.5, 10, ROUND(Table132[[#This Row],[Total]],0))</f>
        <v>7</v>
      </c>
      <c r="Y124" s="28"/>
      <c r="Z124" s="28"/>
      <c r="AA124" s="65"/>
    </row>
    <row r="125" spans="1:27" ht="14.25" customHeight="1">
      <c r="A125" s="26">
        <v>10</v>
      </c>
      <c r="B125" s="32">
        <v>123</v>
      </c>
      <c r="C125" s="41">
        <v>30225</v>
      </c>
      <c r="D125" s="73" t="s">
        <v>192</v>
      </c>
      <c r="E125" s="26" t="s">
        <v>22</v>
      </c>
      <c r="F125" s="27" t="s">
        <v>68</v>
      </c>
      <c r="G125" s="28">
        <v>0.4</v>
      </c>
      <c r="H125" s="28">
        <v>0.22</v>
      </c>
      <c r="I125" s="28">
        <v>0.22</v>
      </c>
      <c r="J125" s="28" t="s">
        <v>77</v>
      </c>
      <c r="K125" s="28" t="s">
        <v>77</v>
      </c>
      <c r="L125" s="28" t="s">
        <v>68</v>
      </c>
      <c r="M125" s="29">
        <f t="shared" si="1"/>
        <v>0.84</v>
      </c>
      <c r="N125" s="74"/>
      <c r="O125" s="74"/>
      <c r="P125" s="30">
        <v>0.9</v>
      </c>
      <c r="Q125" s="54"/>
      <c r="R125" s="30"/>
      <c r="S125" s="30"/>
      <c r="T125" s="55"/>
      <c r="U125" s="31"/>
      <c r="V125" s="31"/>
      <c r="W125" s="38">
        <f>Table132[[#This Row],[Suma lab]]+Table132[[#This Row],[Q1]]+Table132[[#This Row],[Q2]]+MAX(Table132[[#This Row],[Partial]:[re2p]])+MAX(Table132[[#This Row],[Final]:[re2f]])</f>
        <v>1.74</v>
      </c>
      <c r="X125" s="70">
        <f>IF(Table132[[#This Row],[Total]]&gt;=9.5, 10, ROUND(Table132[[#This Row],[Total]],0))</f>
        <v>2</v>
      </c>
      <c r="Y125" s="28"/>
      <c r="Z125" s="28"/>
      <c r="AA125" s="65"/>
    </row>
    <row r="126" spans="1:27" ht="14.25" customHeight="1">
      <c r="A126" s="26">
        <v>11</v>
      </c>
      <c r="B126" s="32">
        <v>124</v>
      </c>
      <c r="C126" s="41">
        <v>30225</v>
      </c>
      <c r="D126" s="73" t="s">
        <v>193</v>
      </c>
      <c r="E126" s="26" t="s">
        <v>22</v>
      </c>
      <c r="F126" s="27" t="s">
        <v>68</v>
      </c>
      <c r="G126" s="28">
        <v>0.6</v>
      </c>
      <c r="H126" s="28">
        <v>0.6</v>
      </c>
      <c r="I126" s="28">
        <v>0.4</v>
      </c>
      <c r="J126" s="28">
        <v>0.6</v>
      </c>
      <c r="K126" s="28">
        <v>0.6</v>
      </c>
      <c r="L126" s="28" t="s">
        <v>68</v>
      </c>
      <c r="M126" s="29">
        <f t="shared" si="1"/>
        <v>2.8000000000000003</v>
      </c>
      <c r="N126" s="74">
        <v>0.2</v>
      </c>
      <c r="O126" s="74">
        <v>0.5</v>
      </c>
      <c r="P126" s="30">
        <v>2.6</v>
      </c>
      <c r="Q126" s="54">
        <v>0</v>
      </c>
      <c r="R126" s="30"/>
      <c r="S126" s="30"/>
      <c r="T126" s="55">
        <v>5.9</v>
      </c>
      <c r="U126" s="31"/>
      <c r="V126" s="31"/>
      <c r="W126" s="38">
        <f>Table132[[#This Row],[Suma lab]]+Table132[[#This Row],[Q1]]+Table132[[#This Row],[Q2]]+MAX(Table132[[#This Row],[Partial]:[re2p]])+MAX(Table132[[#This Row],[Final]:[re2f]])</f>
        <v>12</v>
      </c>
      <c r="X126" s="70">
        <f>IF(Table132[[#This Row],[Total]]&gt;=9.5, 10, ROUND(Table132[[#This Row],[Total]],0))</f>
        <v>10</v>
      </c>
      <c r="Y126" s="28"/>
      <c r="Z126" s="28"/>
      <c r="AA126" s="65"/>
    </row>
    <row r="127" spans="1:27" ht="14.25" customHeight="1">
      <c r="A127" s="26">
        <v>12</v>
      </c>
      <c r="B127" s="32">
        <v>125</v>
      </c>
      <c r="C127" s="41">
        <v>30225</v>
      </c>
      <c r="D127" s="73" t="s">
        <v>194</v>
      </c>
      <c r="E127" s="26" t="s">
        <v>22</v>
      </c>
      <c r="F127" s="27" t="s">
        <v>68</v>
      </c>
      <c r="G127" s="28">
        <v>0.2</v>
      </c>
      <c r="H127" s="28">
        <v>0.05</v>
      </c>
      <c r="I127" s="28">
        <v>0.3</v>
      </c>
      <c r="J127" s="28">
        <v>0.1</v>
      </c>
      <c r="K127" s="28">
        <v>0.1</v>
      </c>
      <c r="L127" s="28" t="s">
        <v>68</v>
      </c>
      <c r="M127" s="29">
        <f t="shared" si="1"/>
        <v>0.75</v>
      </c>
      <c r="N127" s="74"/>
      <c r="O127" s="74"/>
      <c r="P127" s="30"/>
      <c r="Q127" s="54">
        <v>1</v>
      </c>
      <c r="R127" s="30"/>
      <c r="S127" s="30"/>
      <c r="T127" s="55">
        <v>2.75</v>
      </c>
      <c r="U127" s="31"/>
      <c r="V127" s="31"/>
      <c r="W127" s="38">
        <f>Table132[[#This Row],[Suma lab]]+Table132[[#This Row],[Q1]]+Table132[[#This Row],[Q2]]+MAX(Table132[[#This Row],[Partial]:[re2p]])+MAX(Table132[[#This Row],[Final]:[re2f]])</f>
        <v>4.5</v>
      </c>
      <c r="X127" s="70">
        <f>IF(Table132[[#This Row],[Total]]&gt;=9.5, 10, ROUND(Table132[[#This Row],[Total]],0))</f>
        <v>5</v>
      </c>
      <c r="Y127" s="28"/>
      <c r="Z127" s="28"/>
      <c r="AA127" s="65"/>
    </row>
    <row r="128" spans="1:27" ht="14.25" customHeight="1">
      <c r="A128" s="26">
        <v>13</v>
      </c>
      <c r="B128" s="32">
        <v>126</v>
      </c>
      <c r="C128" s="41">
        <v>30225</v>
      </c>
      <c r="D128" s="73" t="s">
        <v>195</v>
      </c>
      <c r="E128" s="26" t="s">
        <v>22</v>
      </c>
      <c r="F128" s="27" t="s">
        <v>68</v>
      </c>
      <c r="G128" s="28">
        <v>0.55000000000000004</v>
      </c>
      <c r="H128" s="28">
        <v>0.42</v>
      </c>
      <c r="I128" s="28">
        <v>0.55000000000000004</v>
      </c>
      <c r="J128" s="28">
        <v>0.35</v>
      </c>
      <c r="K128" s="28">
        <v>0.1</v>
      </c>
      <c r="L128" s="28" t="s">
        <v>68</v>
      </c>
      <c r="M128" s="29">
        <f t="shared" si="1"/>
        <v>1.9700000000000002</v>
      </c>
      <c r="N128" s="74">
        <v>0.3</v>
      </c>
      <c r="O128" s="74"/>
      <c r="P128" s="30">
        <v>2.7</v>
      </c>
      <c r="Q128" s="54"/>
      <c r="R128" s="30"/>
      <c r="S128" s="30"/>
      <c r="T128" s="55">
        <v>4.2</v>
      </c>
      <c r="U128" s="31"/>
      <c r="V128" s="31"/>
      <c r="W128" s="38">
        <f>Table132[[#This Row],[Suma lab]]+Table132[[#This Row],[Q1]]+Table132[[#This Row],[Q2]]+MAX(Table132[[#This Row],[Partial]:[re2p]])+MAX(Table132[[#This Row],[Final]:[re2f]])</f>
        <v>9.1700000000000017</v>
      </c>
      <c r="X128" s="70">
        <f>IF(Table132[[#This Row],[Total]]&gt;=9.5, 10, ROUND(Table132[[#This Row],[Total]],0))</f>
        <v>9</v>
      </c>
      <c r="Y128" s="28"/>
      <c r="Z128" s="28"/>
      <c r="AA128" s="65"/>
    </row>
    <row r="129" spans="1:27" ht="14.25" customHeight="1">
      <c r="A129" s="26">
        <v>14</v>
      </c>
      <c r="B129" s="32">
        <v>127</v>
      </c>
      <c r="C129" s="41">
        <v>30225</v>
      </c>
      <c r="D129" s="73" t="s">
        <v>196</v>
      </c>
      <c r="E129" s="26" t="s">
        <v>22</v>
      </c>
      <c r="F129" s="27" t="s">
        <v>68</v>
      </c>
      <c r="G129" s="28">
        <v>0.6</v>
      </c>
      <c r="H129" s="28">
        <v>0.5</v>
      </c>
      <c r="I129" s="28">
        <v>0.4</v>
      </c>
      <c r="J129" s="28">
        <v>0.55000000000000004</v>
      </c>
      <c r="K129" s="28">
        <v>0.6</v>
      </c>
      <c r="L129" s="28" t="s">
        <v>68</v>
      </c>
      <c r="M129" s="29">
        <f t="shared" si="1"/>
        <v>2.65</v>
      </c>
      <c r="N129" s="74">
        <v>0.3</v>
      </c>
      <c r="O129" s="74"/>
      <c r="P129" s="30">
        <v>2</v>
      </c>
      <c r="Q129" s="54">
        <v>2.4500000000000002</v>
      </c>
      <c r="R129" s="30"/>
      <c r="S129" s="30"/>
      <c r="T129" s="55">
        <v>4.0999999999999996</v>
      </c>
      <c r="U129" s="31"/>
      <c r="V129" s="31"/>
      <c r="W129" s="38">
        <f>Table132[[#This Row],[Suma lab]]+Table132[[#This Row],[Q1]]+Table132[[#This Row],[Q2]]+MAX(Table132[[#This Row],[Partial]:[re2p]])+MAX(Table132[[#This Row],[Final]:[re2f]])</f>
        <v>9.5</v>
      </c>
      <c r="X129" s="70">
        <f>IF(Table132[[#This Row],[Total]]&gt;=9.5, 10, ROUND(Table132[[#This Row],[Total]],0))</f>
        <v>10</v>
      </c>
      <c r="Y129" s="28"/>
      <c r="Z129" s="28"/>
      <c r="AA129" s="65"/>
    </row>
    <row r="130" spans="1:27" ht="14.25" customHeight="1">
      <c r="A130" s="26">
        <v>15</v>
      </c>
      <c r="B130" s="32">
        <v>128</v>
      </c>
      <c r="C130" s="41">
        <v>30225</v>
      </c>
      <c r="D130" s="73" t="s">
        <v>197</v>
      </c>
      <c r="E130" s="26" t="s">
        <v>23</v>
      </c>
      <c r="F130" s="27" t="s">
        <v>68</v>
      </c>
      <c r="G130" s="28">
        <v>0.6</v>
      </c>
      <c r="H130" s="28">
        <v>0.6</v>
      </c>
      <c r="I130" s="28">
        <v>0.6</v>
      </c>
      <c r="J130" s="28">
        <v>0.5</v>
      </c>
      <c r="K130" s="28">
        <v>0.4</v>
      </c>
      <c r="L130" s="28" t="s">
        <v>68</v>
      </c>
      <c r="M130" s="29">
        <f t="shared" si="1"/>
        <v>2.6999999999999997</v>
      </c>
      <c r="N130" s="74"/>
      <c r="O130" s="74"/>
      <c r="P130" s="30">
        <v>1.3</v>
      </c>
      <c r="Q130" s="54"/>
      <c r="R130" s="30"/>
      <c r="S130" s="30"/>
      <c r="T130" s="55">
        <v>3.25</v>
      </c>
      <c r="U130" s="31"/>
      <c r="V130" s="31"/>
      <c r="W130" s="38">
        <f>Table132[[#This Row],[Suma lab]]+Table132[[#This Row],[Q1]]+Table132[[#This Row],[Q2]]+MAX(Table132[[#This Row],[Partial]:[re2p]])+MAX(Table132[[#This Row],[Final]:[re2f]])</f>
        <v>7.25</v>
      </c>
      <c r="X130" s="70">
        <f>IF(Table132[[#This Row],[Total]]&gt;=9.5, 10, ROUND(Table132[[#This Row],[Total]],0))</f>
        <v>7</v>
      </c>
      <c r="Y130" s="28"/>
      <c r="Z130" s="28"/>
      <c r="AA130" s="65"/>
    </row>
    <row r="131" spans="1:27" ht="14.25" customHeight="1">
      <c r="A131" s="26">
        <v>16</v>
      </c>
      <c r="B131" s="32">
        <v>129</v>
      </c>
      <c r="C131" s="41">
        <v>30225</v>
      </c>
      <c r="D131" s="73" t="s">
        <v>198</v>
      </c>
      <c r="E131" s="26" t="s">
        <v>23</v>
      </c>
      <c r="F131" s="27" t="s">
        <v>68</v>
      </c>
      <c r="G131" s="28">
        <v>0.4</v>
      </c>
      <c r="H131" s="28">
        <v>0.6</v>
      </c>
      <c r="I131" s="76">
        <v>0.5</v>
      </c>
      <c r="J131" s="28">
        <v>0.45</v>
      </c>
      <c r="K131" s="28">
        <v>0.45</v>
      </c>
      <c r="L131" s="28" t="s">
        <v>68</v>
      </c>
      <c r="M131" s="29">
        <f t="shared" ref="M131:M194" si="2">SUM(G131:K131)</f>
        <v>2.4</v>
      </c>
      <c r="N131" s="74">
        <v>0.5</v>
      </c>
      <c r="O131" s="74"/>
      <c r="P131" s="30">
        <v>2.4</v>
      </c>
      <c r="Q131" s="54">
        <v>0</v>
      </c>
      <c r="R131" s="30"/>
      <c r="S131" s="30"/>
      <c r="T131" s="55">
        <v>4.5</v>
      </c>
      <c r="U131" s="31"/>
      <c r="V131" s="31"/>
      <c r="W131" s="38">
        <f>Table132[[#This Row],[Suma lab]]+Table132[[#This Row],[Q1]]+Table132[[#This Row],[Q2]]+MAX(Table132[[#This Row],[Partial]:[re2p]])+MAX(Table132[[#This Row],[Final]:[re2f]])</f>
        <v>9.8000000000000007</v>
      </c>
      <c r="X131" s="70">
        <f>IF(Table132[[#This Row],[Total]]&gt;=9.5, 10, ROUND(Table132[[#This Row],[Total]],0))</f>
        <v>10</v>
      </c>
      <c r="Y131" s="28"/>
      <c r="Z131" s="28"/>
      <c r="AA131" s="65"/>
    </row>
    <row r="132" spans="1:27" ht="14.25" customHeight="1">
      <c r="A132" s="26">
        <v>17</v>
      </c>
      <c r="B132" s="32">
        <v>130</v>
      </c>
      <c r="C132" s="41">
        <v>30225</v>
      </c>
      <c r="D132" s="73" t="s">
        <v>199</v>
      </c>
      <c r="E132" s="26" t="s">
        <v>23</v>
      </c>
      <c r="F132" s="27" t="s">
        <v>68</v>
      </c>
      <c r="G132" s="28">
        <v>0.5</v>
      </c>
      <c r="H132" s="28">
        <v>0.1</v>
      </c>
      <c r="I132" s="76">
        <v>0.2</v>
      </c>
      <c r="J132" s="28">
        <v>0.45</v>
      </c>
      <c r="K132" s="28">
        <v>0.55000000000000004</v>
      </c>
      <c r="L132" s="28" t="s">
        <v>68</v>
      </c>
      <c r="M132" s="29">
        <f t="shared" si="2"/>
        <v>1.8</v>
      </c>
      <c r="N132" s="74">
        <v>0.3</v>
      </c>
      <c r="O132" s="74"/>
      <c r="P132" s="30">
        <v>1.4</v>
      </c>
      <c r="Q132" s="54">
        <v>1.85</v>
      </c>
      <c r="R132" s="30"/>
      <c r="S132" s="30"/>
      <c r="T132" s="55">
        <v>4.9000000000000004</v>
      </c>
      <c r="U132" s="31"/>
      <c r="V132" s="31"/>
      <c r="W132" s="38">
        <f>Table132[[#This Row],[Suma lab]]+Table132[[#This Row],[Q1]]+Table132[[#This Row],[Q2]]+MAX(Table132[[#This Row],[Partial]:[re2p]])+MAX(Table132[[#This Row],[Final]:[re2f]])</f>
        <v>8.8500000000000014</v>
      </c>
      <c r="X132" s="70">
        <f>IF(Table132[[#This Row],[Total]]&gt;=9.5, 10, ROUND(Table132[[#This Row],[Total]],0))</f>
        <v>9</v>
      </c>
      <c r="Y132" s="28"/>
      <c r="Z132" s="28"/>
      <c r="AA132" s="65"/>
    </row>
    <row r="133" spans="1:27" ht="14.25" customHeight="1">
      <c r="A133" s="26">
        <v>18</v>
      </c>
      <c r="B133" s="32">
        <v>131</v>
      </c>
      <c r="C133" s="41">
        <v>30225</v>
      </c>
      <c r="D133" s="73" t="s">
        <v>200</v>
      </c>
      <c r="E133" s="26" t="s">
        <v>23</v>
      </c>
      <c r="F133" s="27" t="s">
        <v>68</v>
      </c>
      <c r="G133" s="28">
        <v>0.1</v>
      </c>
      <c r="H133" s="28">
        <v>0.05</v>
      </c>
      <c r="I133" s="76">
        <v>0</v>
      </c>
      <c r="J133" s="28">
        <v>0.4</v>
      </c>
      <c r="K133" s="28">
        <v>0.6</v>
      </c>
      <c r="L133" s="28" t="s">
        <v>68</v>
      </c>
      <c r="M133" s="29">
        <f t="shared" si="2"/>
        <v>1.1499999999999999</v>
      </c>
      <c r="N133" s="74"/>
      <c r="O133" s="74"/>
      <c r="P133" s="30">
        <v>0.55000000000000004</v>
      </c>
      <c r="Q133" s="54">
        <v>0</v>
      </c>
      <c r="R133" s="30"/>
      <c r="S133" s="30"/>
      <c r="T133" s="55">
        <v>5.9</v>
      </c>
      <c r="U133" s="31"/>
      <c r="V133" s="31"/>
      <c r="W133" s="38">
        <f>Table132[[#This Row],[Suma lab]]+Table132[[#This Row],[Q1]]+Table132[[#This Row],[Q2]]+MAX(Table132[[#This Row],[Partial]:[re2p]])+MAX(Table132[[#This Row],[Final]:[re2f]])</f>
        <v>7.6000000000000005</v>
      </c>
      <c r="X133" s="70">
        <f>IF(Table132[[#This Row],[Total]]&gt;=9.5, 10, ROUND(Table132[[#This Row],[Total]],0))</f>
        <v>8</v>
      </c>
      <c r="Y133" s="28"/>
      <c r="Z133" s="28"/>
      <c r="AA133" s="65"/>
    </row>
    <row r="134" spans="1:27" ht="14.25" customHeight="1">
      <c r="A134" s="26">
        <v>19</v>
      </c>
      <c r="B134" s="32">
        <v>132</v>
      </c>
      <c r="C134" s="41">
        <v>30225</v>
      </c>
      <c r="D134" s="73" t="s">
        <v>201</v>
      </c>
      <c r="E134" s="26" t="s">
        <v>23</v>
      </c>
      <c r="F134" s="27" t="s">
        <v>68</v>
      </c>
      <c r="G134" s="28">
        <v>0.6</v>
      </c>
      <c r="H134" s="28">
        <v>0.5</v>
      </c>
      <c r="I134" s="76">
        <v>0.4</v>
      </c>
      <c r="J134" s="28">
        <v>0.6</v>
      </c>
      <c r="K134" s="28">
        <v>0.6</v>
      </c>
      <c r="L134" s="28" t="s">
        <v>68</v>
      </c>
      <c r="M134" s="29">
        <f t="shared" si="2"/>
        <v>2.7</v>
      </c>
      <c r="N134" s="74">
        <v>0.3</v>
      </c>
      <c r="O134" s="74"/>
      <c r="P134" s="30">
        <v>2.4500000000000002</v>
      </c>
      <c r="Q134" s="54">
        <v>0</v>
      </c>
      <c r="R134" s="30"/>
      <c r="S134" s="30"/>
      <c r="T134" s="55">
        <v>4.7</v>
      </c>
      <c r="U134" s="31"/>
      <c r="V134" s="31"/>
      <c r="W134" s="38">
        <f>Table132[[#This Row],[Suma lab]]+Table132[[#This Row],[Q1]]+Table132[[#This Row],[Q2]]+MAX(Table132[[#This Row],[Partial]:[re2p]])+MAX(Table132[[#This Row],[Final]:[re2f]])</f>
        <v>10.15</v>
      </c>
      <c r="X134" s="70">
        <f>IF(Table132[[#This Row],[Total]]&gt;=9.5, 10, ROUND(Table132[[#This Row],[Total]],0))</f>
        <v>10</v>
      </c>
      <c r="Y134" s="28"/>
      <c r="Z134" s="28"/>
      <c r="AA134" s="65"/>
    </row>
    <row r="135" spans="1:27" ht="14.25" customHeight="1">
      <c r="A135" s="26">
        <v>20</v>
      </c>
      <c r="B135" s="32">
        <v>133</v>
      </c>
      <c r="C135" s="41">
        <v>30225</v>
      </c>
      <c r="D135" s="73" t="s">
        <v>202</v>
      </c>
      <c r="E135" s="26" t="s">
        <v>23</v>
      </c>
      <c r="F135" s="27" t="s">
        <v>68</v>
      </c>
      <c r="G135" s="28">
        <v>0.6</v>
      </c>
      <c r="H135" s="28">
        <v>0.6</v>
      </c>
      <c r="I135" s="76">
        <v>0.4</v>
      </c>
      <c r="J135" s="28">
        <v>0.45</v>
      </c>
      <c r="K135" s="28">
        <v>0.5</v>
      </c>
      <c r="L135" s="28" t="s">
        <v>68</v>
      </c>
      <c r="M135" s="29">
        <f t="shared" si="2"/>
        <v>2.5500000000000003</v>
      </c>
      <c r="N135" s="74">
        <v>0.3</v>
      </c>
      <c r="O135" s="74"/>
      <c r="P135" s="30">
        <v>3.5</v>
      </c>
      <c r="Q135" s="54"/>
      <c r="R135" s="30"/>
      <c r="S135" s="30"/>
      <c r="T135" s="55">
        <v>5.25</v>
      </c>
      <c r="U135" s="31"/>
      <c r="V135" s="31"/>
      <c r="W135" s="38">
        <f>Table132[[#This Row],[Suma lab]]+Table132[[#This Row],[Q1]]+Table132[[#This Row],[Q2]]+MAX(Table132[[#This Row],[Partial]:[re2p]])+MAX(Table132[[#This Row],[Final]:[re2f]])</f>
        <v>11.6</v>
      </c>
      <c r="X135" s="70">
        <f>IF(Table132[[#This Row],[Total]]&gt;=9.5, 10, ROUND(Table132[[#This Row],[Total]],0))</f>
        <v>10</v>
      </c>
      <c r="Y135" s="28"/>
      <c r="Z135" s="28"/>
      <c r="AA135" s="65"/>
    </row>
    <row r="136" spans="1:27" ht="14.25" customHeight="1">
      <c r="A136" s="26">
        <v>21</v>
      </c>
      <c r="B136" s="32">
        <v>134</v>
      </c>
      <c r="C136" s="43">
        <v>30225</v>
      </c>
      <c r="D136" s="73" t="s">
        <v>203</v>
      </c>
      <c r="E136" s="26" t="s">
        <v>23</v>
      </c>
      <c r="F136" s="27" t="s">
        <v>68</v>
      </c>
      <c r="G136" s="28">
        <v>0.6</v>
      </c>
      <c r="H136" s="28">
        <v>0.6</v>
      </c>
      <c r="I136" s="76">
        <v>0.6</v>
      </c>
      <c r="J136" s="28">
        <v>0.6</v>
      </c>
      <c r="K136" s="28">
        <v>0.6</v>
      </c>
      <c r="L136" s="28" t="s">
        <v>68</v>
      </c>
      <c r="M136" s="29">
        <f t="shared" si="2"/>
        <v>3</v>
      </c>
      <c r="N136" s="74">
        <v>0.5</v>
      </c>
      <c r="O136" s="74"/>
      <c r="P136" s="30">
        <v>3</v>
      </c>
      <c r="Q136" s="54">
        <v>0</v>
      </c>
      <c r="R136" s="30"/>
      <c r="S136" s="30"/>
      <c r="T136" s="55">
        <v>5.75</v>
      </c>
      <c r="U136" s="31"/>
      <c r="V136" s="31"/>
      <c r="W136" s="38">
        <f>Table132[[#This Row],[Suma lab]]+Table132[[#This Row],[Q1]]+Table132[[#This Row],[Q2]]+MAX(Table132[[#This Row],[Partial]:[re2p]])+MAX(Table132[[#This Row],[Final]:[re2f]])</f>
        <v>12.25</v>
      </c>
      <c r="X136" s="70">
        <f>IF(Table132[[#This Row],[Total]]&gt;=9.5, 10, ROUND(Table132[[#This Row],[Total]],0))</f>
        <v>10</v>
      </c>
      <c r="Y136" s="28"/>
      <c r="Z136" s="28"/>
      <c r="AA136" s="65"/>
    </row>
    <row r="137" spans="1:27" ht="14.25" customHeight="1">
      <c r="A137" s="26">
        <v>22</v>
      </c>
      <c r="B137" s="32">
        <v>135</v>
      </c>
      <c r="C137" s="43">
        <v>30225</v>
      </c>
      <c r="D137" s="73" t="s">
        <v>204</v>
      </c>
      <c r="E137" s="26" t="s">
        <v>23</v>
      </c>
      <c r="F137" s="27" t="s">
        <v>68</v>
      </c>
      <c r="G137" s="28">
        <v>0.4</v>
      </c>
      <c r="H137" s="28">
        <v>0.1</v>
      </c>
      <c r="I137" s="76">
        <v>0.2</v>
      </c>
      <c r="J137" s="28">
        <v>0.15</v>
      </c>
      <c r="K137" s="28">
        <v>0.3</v>
      </c>
      <c r="L137" s="28" t="s">
        <v>68</v>
      </c>
      <c r="M137" s="29">
        <f t="shared" si="2"/>
        <v>1.1499999999999999</v>
      </c>
      <c r="N137" s="74">
        <v>0.2</v>
      </c>
      <c r="O137" s="74"/>
      <c r="P137" s="30">
        <v>0.4</v>
      </c>
      <c r="Q137" s="54">
        <v>0.65</v>
      </c>
      <c r="R137" s="30"/>
      <c r="S137" s="30"/>
      <c r="T137" s="55">
        <v>2.5</v>
      </c>
      <c r="U137" s="31"/>
      <c r="V137" s="31"/>
      <c r="W137" s="38">
        <f>Table132[[#This Row],[Suma lab]]+Table132[[#This Row],[Q1]]+Table132[[#This Row],[Q2]]+MAX(Table132[[#This Row],[Partial]:[re2p]])+MAX(Table132[[#This Row],[Final]:[re2f]])</f>
        <v>4.5</v>
      </c>
      <c r="X137" s="70">
        <f>IF(Table132[[#This Row],[Total]]&gt;=9.5, 10, ROUND(Table132[[#This Row],[Total]],0))</f>
        <v>5</v>
      </c>
      <c r="Y137" s="28"/>
      <c r="Z137" s="28"/>
      <c r="AA137" s="65"/>
    </row>
    <row r="138" spans="1:27" ht="15.75" customHeight="1">
      <c r="A138" s="26">
        <v>23</v>
      </c>
      <c r="B138" s="32">
        <v>136</v>
      </c>
      <c r="C138" s="43">
        <v>30225</v>
      </c>
      <c r="D138" s="73" t="s">
        <v>205</v>
      </c>
      <c r="E138" s="26" t="s">
        <v>23</v>
      </c>
      <c r="F138" s="27" t="s">
        <v>68</v>
      </c>
      <c r="G138" s="28">
        <v>0.1</v>
      </c>
      <c r="H138" s="28">
        <v>0.02</v>
      </c>
      <c r="I138" s="76">
        <v>0</v>
      </c>
      <c r="J138" s="28">
        <v>0.02</v>
      </c>
      <c r="K138" s="28">
        <v>0.2</v>
      </c>
      <c r="L138" s="28" t="s">
        <v>68</v>
      </c>
      <c r="M138" s="29">
        <f t="shared" si="2"/>
        <v>0.34</v>
      </c>
      <c r="N138" s="74"/>
      <c r="O138" s="74"/>
      <c r="P138" s="30">
        <v>1.05</v>
      </c>
      <c r="Q138" s="54"/>
      <c r="R138" s="30"/>
      <c r="S138" s="30"/>
      <c r="T138" s="55">
        <v>1.5</v>
      </c>
      <c r="U138" s="31"/>
      <c r="V138" s="31"/>
      <c r="W138" s="38">
        <f>Table132[[#This Row],[Suma lab]]+Table132[[#This Row],[Q1]]+Table132[[#This Row],[Q2]]+MAX(Table132[[#This Row],[Partial]:[re2p]])+MAX(Table132[[#This Row],[Final]:[re2f]])</f>
        <v>2.89</v>
      </c>
      <c r="X138" s="70">
        <f>IF(Table132[[#This Row],[Total]]&gt;=9.5, 10, ROUND(Table132[[#This Row],[Total]],0))</f>
        <v>3</v>
      </c>
      <c r="Y138" s="28"/>
      <c r="Z138" s="28"/>
      <c r="AA138" s="65"/>
    </row>
    <row r="139" spans="1:27" ht="15.75" customHeight="1">
      <c r="A139" s="26">
        <v>24</v>
      </c>
      <c r="B139" s="32">
        <v>137</v>
      </c>
      <c r="C139" s="43">
        <v>30225</v>
      </c>
      <c r="D139" s="73" t="s">
        <v>206</v>
      </c>
      <c r="E139" s="26" t="s">
        <v>23</v>
      </c>
      <c r="F139" s="27" t="s">
        <v>68</v>
      </c>
      <c r="G139" s="28">
        <v>0.6</v>
      </c>
      <c r="H139" s="28">
        <v>0.42</v>
      </c>
      <c r="I139" s="76">
        <v>0.3</v>
      </c>
      <c r="J139" s="28">
        <v>0.2</v>
      </c>
      <c r="K139" s="28">
        <v>0.3</v>
      </c>
      <c r="L139" s="28" t="s">
        <v>68</v>
      </c>
      <c r="M139" s="29">
        <f t="shared" si="2"/>
        <v>1.82</v>
      </c>
      <c r="N139" s="74">
        <v>0.25</v>
      </c>
      <c r="O139" s="74"/>
      <c r="P139" s="30">
        <v>0.6</v>
      </c>
      <c r="Q139" s="54"/>
      <c r="R139" s="30"/>
      <c r="S139" s="30"/>
      <c r="T139" s="55">
        <v>2.2000000000000002</v>
      </c>
      <c r="U139" s="31"/>
      <c r="V139" s="31"/>
      <c r="W139" s="38">
        <f>Table132[[#This Row],[Suma lab]]+Table132[[#This Row],[Q1]]+Table132[[#This Row],[Q2]]+MAX(Table132[[#This Row],[Partial]:[re2p]])+MAX(Table132[[#This Row],[Final]:[re2f]])</f>
        <v>4.870000000000001</v>
      </c>
      <c r="X139" s="70">
        <f>IF(Table132[[#This Row],[Total]]&gt;=9.5, 10, ROUND(Table132[[#This Row],[Total]],0))</f>
        <v>5</v>
      </c>
      <c r="Y139" s="28"/>
      <c r="Z139" s="28"/>
      <c r="AA139" s="65"/>
    </row>
    <row r="140" spans="1:27" ht="15.75" customHeight="1">
      <c r="A140" s="26">
        <v>25</v>
      </c>
      <c r="B140" s="32">
        <v>138</v>
      </c>
      <c r="C140" s="43">
        <v>30225</v>
      </c>
      <c r="D140" s="73" t="s">
        <v>207</v>
      </c>
      <c r="E140" s="26"/>
      <c r="F140" s="27"/>
      <c r="G140" s="34">
        <v>0.1</v>
      </c>
      <c r="H140" s="28"/>
      <c r="I140" s="77"/>
      <c r="J140" s="28"/>
      <c r="K140" s="28"/>
      <c r="L140" s="28"/>
      <c r="M140" s="29">
        <f t="shared" si="2"/>
        <v>0.1</v>
      </c>
      <c r="N140" s="74"/>
      <c r="O140" s="74"/>
      <c r="P140" s="30"/>
      <c r="Q140" s="54"/>
      <c r="R140" s="30"/>
      <c r="S140" s="30"/>
      <c r="T140" s="55"/>
      <c r="U140" s="31"/>
      <c r="V140" s="31"/>
      <c r="W140" s="38">
        <f>Table132[[#This Row],[Suma lab]]+Table132[[#This Row],[Q1]]+Table132[[#This Row],[Q2]]+MAX(Table132[[#This Row],[Partial]:[re2p]])+MAX(Table132[[#This Row],[Final]:[re2f]])</f>
        <v>0.1</v>
      </c>
      <c r="X140" s="70">
        <f>IF(Table132[[#This Row],[Total]]&gt;=9.5, 10, ROUND(Table132[[#This Row],[Total]],0))</f>
        <v>0</v>
      </c>
      <c r="Y140" s="28"/>
      <c r="Z140" s="28"/>
      <c r="AA140" s="65"/>
    </row>
    <row r="141" spans="1:27" ht="15.75" customHeight="1">
      <c r="A141" s="26">
        <v>26</v>
      </c>
      <c r="B141" s="32">
        <v>139</v>
      </c>
      <c r="C141" s="43">
        <v>30225</v>
      </c>
      <c r="D141" s="73" t="s">
        <v>208</v>
      </c>
      <c r="E141" s="26" t="s">
        <v>23</v>
      </c>
      <c r="F141" s="27" t="s">
        <v>68</v>
      </c>
      <c r="G141" s="28">
        <v>0.6</v>
      </c>
      <c r="H141" s="28">
        <v>0.6</v>
      </c>
      <c r="I141" s="76">
        <v>0.6</v>
      </c>
      <c r="J141" s="28">
        <v>0.6</v>
      </c>
      <c r="K141" s="28">
        <v>0.4</v>
      </c>
      <c r="L141" s="28" t="s">
        <v>68</v>
      </c>
      <c r="M141" s="29">
        <f t="shared" si="2"/>
        <v>2.8</v>
      </c>
      <c r="N141" s="74">
        <v>0.25</v>
      </c>
      <c r="O141" s="74"/>
      <c r="P141" s="30">
        <v>1.6</v>
      </c>
      <c r="Q141" s="54">
        <v>1.4</v>
      </c>
      <c r="R141" s="30"/>
      <c r="S141" s="30"/>
      <c r="T141" s="55">
        <v>2.85</v>
      </c>
      <c r="U141" s="31"/>
      <c r="V141" s="31"/>
      <c r="W141" s="38">
        <f>Table132[[#This Row],[Suma lab]]+Table132[[#This Row],[Q1]]+Table132[[#This Row],[Q2]]+MAX(Table132[[#This Row],[Partial]:[re2p]])+MAX(Table132[[#This Row],[Final]:[re2f]])</f>
        <v>7.5</v>
      </c>
      <c r="X141" s="70">
        <f>IF(Table132[[#This Row],[Total]]&gt;=9.5, 10, ROUND(Table132[[#This Row],[Total]],0))</f>
        <v>8</v>
      </c>
      <c r="Y141" s="28"/>
      <c r="Z141" s="28"/>
      <c r="AA141" s="65"/>
    </row>
    <row r="142" spans="1:27" ht="15.75" customHeight="1">
      <c r="A142" s="26">
        <v>27</v>
      </c>
      <c r="B142" s="32">
        <v>140</v>
      </c>
      <c r="C142" s="43">
        <v>30225</v>
      </c>
      <c r="D142" s="73" t="s">
        <v>209</v>
      </c>
      <c r="E142" s="26" t="s">
        <v>23</v>
      </c>
      <c r="F142" s="27" t="s">
        <v>68</v>
      </c>
      <c r="G142" s="34">
        <v>0.4</v>
      </c>
      <c r="H142" s="28">
        <v>0.6</v>
      </c>
      <c r="I142" s="76">
        <v>0.45</v>
      </c>
      <c r="J142" s="28">
        <v>0.6</v>
      </c>
      <c r="K142" s="28">
        <v>0.45</v>
      </c>
      <c r="L142" s="28" t="s">
        <v>68</v>
      </c>
      <c r="M142" s="29">
        <f t="shared" si="2"/>
        <v>2.5</v>
      </c>
      <c r="N142" s="74">
        <v>0.3</v>
      </c>
      <c r="O142" s="74"/>
      <c r="P142" s="30">
        <v>1.9</v>
      </c>
      <c r="Q142" s="54">
        <v>2.65</v>
      </c>
      <c r="R142" s="30"/>
      <c r="S142" s="30"/>
      <c r="T142" s="55">
        <v>3.05</v>
      </c>
      <c r="U142" s="31"/>
      <c r="V142" s="31"/>
      <c r="W142" s="38">
        <f>Table132[[#This Row],[Suma lab]]+Table132[[#This Row],[Q1]]+Table132[[#This Row],[Q2]]+MAX(Table132[[#This Row],[Partial]:[re2p]])+MAX(Table132[[#This Row],[Final]:[re2f]])</f>
        <v>8.5</v>
      </c>
      <c r="X142" s="70">
        <f>IF(Table132[[#This Row],[Total]]&gt;=9.5, 10, ROUND(Table132[[#This Row],[Total]],0))</f>
        <v>9</v>
      </c>
      <c r="Y142" s="28"/>
      <c r="Z142" s="28"/>
      <c r="AA142" s="65"/>
    </row>
    <row r="143" spans="1:27" ht="15.75" customHeight="1">
      <c r="A143" s="26">
        <v>28</v>
      </c>
      <c r="B143" s="32">
        <v>141</v>
      </c>
      <c r="C143" s="43">
        <v>30225</v>
      </c>
      <c r="D143" s="73" t="s">
        <v>210</v>
      </c>
      <c r="E143" s="26" t="s">
        <v>23</v>
      </c>
      <c r="F143" s="27" t="s">
        <v>68</v>
      </c>
      <c r="G143" s="34">
        <v>0.4</v>
      </c>
      <c r="H143" s="28">
        <v>0.4</v>
      </c>
      <c r="I143" s="76">
        <v>0.22</v>
      </c>
      <c r="J143" s="28">
        <v>0.2</v>
      </c>
      <c r="K143" s="28">
        <v>0.2</v>
      </c>
      <c r="L143" s="28" t="s">
        <v>68</v>
      </c>
      <c r="M143" s="29">
        <f t="shared" si="2"/>
        <v>1.42</v>
      </c>
      <c r="N143" s="74"/>
      <c r="O143" s="74"/>
      <c r="P143" s="30">
        <v>1.4</v>
      </c>
      <c r="Q143" s="54">
        <v>0.8</v>
      </c>
      <c r="R143" s="30"/>
      <c r="S143" s="30"/>
      <c r="T143" s="55">
        <v>3.75</v>
      </c>
      <c r="U143" s="31"/>
      <c r="V143" s="31"/>
      <c r="W143" s="38">
        <f>Table132[[#This Row],[Suma lab]]+Table132[[#This Row],[Q1]]+Table132[[#This Row],[Q2]]+MAX(Table132[[#This Row],[Partial]:[re2p]])+MAX(Table132[[#This Row],[Final]:[re2f]])</f>
        <v>6.57</v>
      </c>
      <c r="X143" s="70">
        <f>IF(Table132[[#This Row],[Total]]&gt;=9.5, 10, ROUND(Table132[[#This Row],[Total]],0))</f>
        <v>7</v>
      </c>
      <c r="Y143" s="28"/>
      <c r="Z143" s="28"/>
      <c r="AA143" s="65"/>
    </row>
    <row r="144" spans="1:27" ht="15.75" customHeight="1">
      <c r="A144" s="26">
        <v>1</v>
      </c>
      <c r="B144" s="32">
        <v>142</v>
      </c>
      <c r="C144" s="44">
        <v>30226</v>
      </c>
      <c r="D144" s="73" t="s">
        <v>211</v>
      </c>
      <c r="E144" s="26" t="s">
        <v>24</v>
      </c>
      <c r="F144" s="27" t="s">
        <v>68</v>
      </c>
      <c r="G144" s="28">
        <v>0.4</v>
      </c>
      <c r="H144" s="28">
        <v>0.6</v>
      </c>
      <c r="I144" s="28">
        <v>0.22</v>
      </c>
      <c r="J144" s="28">
        <v>0</v>
      </c>
      <c r="K144" s="28">
        <v>0.2</v>
      </c>
      <c r="L144" s="80" t="s">
        <v>68</v>
      </c>
      <c r="M144" s="29">
        <f t="shared" si="2"/>
        <v>1.42</v>
      </c>
      <c r="N144" s="74"/>
      <c r="O144" s="74"/>
      <c r="P144" s="30">
        <v>0.5</v>
      </c>
      <c r="Q144" s="54">
        <v>2.2999999999999998</v>
      </c>
      <c r="R144" s="30"/>
      <c r="S144" s="30"/>
      <c r="T144" s="55">
        <v>4</v>
      </c>
      <c r="U144" s="31"/>
      <c r="V144" s="31"/>
      <c r="W144" s="38">
        <f>Table132[[#This Row],[Suma lab]]+Table132[[#This Row],[Q1]]+Table132[[#This Row],[Q2]]+MAX(Table132[[#This Row],[Partial]:[re2p]])+MAX(Table132[[#This Row],[Final]:[re2f]])</f>
        <v>7.72</v>
      </c>
      <c r="X144" s="70">
        <f>IF(Table132[[#This Row],[Total]]&gt;=9.5, 10, ROUND(Table132[[#This Row],[Total]],0))</f>
        <v>8</v>
      </c>
      <c r="Y144" s="28"/>
      <c r="Z144" s="28"/>
      <c r="AA144" s="71"/>
    </row>
    <row r="145" spans="1:27" ht="15.75" customHeight="1">
      <c r="A145" s="26">
        <v>2</v>
      </c>
      <c r="B145" s="32">
        <v>143</v>
      </c>
      <c r="C145" s="44">
        <v>30226</v>
      </c>
      <c r="D145" s="73" t="s">
        <v>212</v>
      </c>
      <c r="E145" s="26" t="s">
        <v>24</v>
      </c>
      <c r="F145" s="27" t="s">
        <v>68</v>
      </c>
      <c r="G145" s="28">
        <v>0.6</v>
      </c>
      <c r="H145" s="28">
        <v>0.2</v>
      </c>
      <c r="I145" s="28">
        <v>0.4</v>
      </c>
      <c r="J145" s="28">
        <v>0.6</v>
      </c>
      <c r="K145" s="28">
        <v>0.6</v>
      </c>
      <c r="L145" s="80" t="s">
        <v>68</v>
      </c>
      <c r="M145" s="29">
        <f t="shared" si="2"/>
        <v>2.4000000000000004</v>
      </c>
      <c r="N145" s="74">
        <v>0.5</v>
      </c>
      <c r="O145" s="74"/>
      <c r="P145" s="30">
        <v>4</v>
      </c>
      <c r="Q145" s="54"/>
      <c r="R145" s="30"/>
      <c r="S145" s="30"/>
      <c r="T145" s="55">
        <v>4.05</v>
      </c>
      <c r="U145" s="31"/>
      <c r="V145" s="31"/>
      <c r="W145" s="38">
        <f>Table132[[#This Row],[Suma lab]]+Table132[[#This Row],[Q1]]+Table132[[#This Row],[Q2]]+MAX(Table132[[#This Row],[Partial]:[re2p]])+MAX(Table132[[#This Row],[Final]:[re2f]])</f>
        <v>10.95</v>
      </c>
      <c r="X145" s="70">
        <f>IF(Table132[[#This Row],[Total]]&gt;=9.5, 10, ROUND(Table132[[#This Row],[Total]],0))</f>
        <v>10</v>
      </c>
      <c r="Y145" s="28"/>
      <c r="Z145" s="28"/>
      <c r="AA145" s="71"/>
    </row>
    <row r="146" spans="1:27" ht="15.75" customHeight="1">
      <c r="A146" s="26">
        <v>3</v>
      </c>
      <c r="B146" s="32">
        <v>144</v>
      </c>
      <c r="C146" s="44">
        <v>30226</v>
      </c>
      <c r="D146" s="73" t="s">
        <v>213</v>
      </c>
      <c r="E146" s="26" t="s">
        <v>24</v>
      </c>
      <c r="F146" s="27" t="s">
        <v>68</v>
      </c>
      <c r="G146" s="28">
        <v>0.6</v>
      </c>
      <c r="H146" s="28">
        <v>0.6</v>
      </c>
      <c r="I146" s="28">
        <v>0.5</v>
      </c>
      <c r="J146" s="28">
        <v>0.6</v>
      </c>
      <c r="K146" s="28">
        <v>0.6</v>
      </c>
      <c r="L146" s="28" t="s">
        <v>68</v>
      </c>
      <c r="M146" s="29">
        <f t="shared" si="2"/>
        <v>2.9</v>
      </c>
      <c r="N146" s="74"/>
      <c r="O146" s="74"/>
      <c r="P146" s="30">
        <v>1.1000000000000001</v>
      </c>
      <c r="Q146" s="54"/>
      <c r="R146" s="30"/>
      <c r="S146" s="30"/>
      <c r="T146" s="55">
        <v>1.2</v>
      </c>
      <c r="U146" s="31"/>
      <c r="V146" s="31"/>
      <c r="W146" s="38">
        <f>Table132[[#This Row],[Suma lab]]+Table132[[#This Row],[Q1]]+Table132[[#This Row],[Q2]]+MAX(Table132[[#This Row],[Partial]:[re2p]])+MAX(Table132[[#This Row],[Final]:[re2f]])</f>
        <v>5.2</v>
      </c>
      <c r="X146" s="70">
        <f>IF(Table132[[#This Row],[Total]]&gt;=9.5, 10, ROUND(Table132[[#This Row],[Total]],0))</f>
        <v>5</v>
      </c>
      <c r="Y146" s="28"/>
      <c r="Z146" s="28"/>
      <c r="AA146" s="71"/>
    </row>
    <row r="147" spans="1:27" ht="15.75" customHeight="1">
      <c r="A147" s="26">
        <v>4</v>
      </c>
      <c r="B147" s="32">
        <v>145</v>
      </c>
      <c r="C147" s="44">
        <v>30226</v>
      </c>
      <c r="D147" s="73" t="s">
        <v>214</v>
      </c>
      <c r="E147" s="26" t="s">
        <v>24</v>
      </c>
      <c r="F147" s="27" t="s">
        <v>68</v>
      </c>
      <c r="G147" s="28">
        <v>0.2</v>
      </c>
      <c r="H147" s="28">
        <v>0</v>
      </c>
      <c r="I147" s="28">
        <v>0.1</v>
      </c>
      <c r="J147" s="28">
        <v>0.2</v>
      </c>
      <c r="K147" s="28">
        <v>0.4</v>
      </c>
      <c r="L147" s="80" t="s">
        <v>68</v>
      </c>
      <c r="M147" s="29">
        <f t="shared" si="2"/>
        <v>0.9</v>
      </c>
      <c r="N147" s="74">
        <v>0.1</v>
      </c>
      <c r="O147" s="74"/>
      <c r="P147" s="30">
        <v>1.9</v>
      </c>
      <c r="Q147" s="54">
        <v>3.4</v>
      </c>
      <c r="R147" s="30"/>
      <c r="S147" s="30"/>
      <c r="T147" s="55">
        <v>1.7</v>
      </c>
      <c r="U147" s="31"/>
      <c r="V147" s="31"/>
      <c r="W147" s="38">
        <f>Table132[[#This Row],[Suma lab]]+Table132[[#This Row],[Q1]]+Table132[[#This Row],[Q2]]+MAX(Table132[[#This Row],[Partial]:[re2p]])+MAX(Table132[[#This Row],[Final]:[re2f]])</f>
        <v>6.1000000000000005</v>
      </c>
      <c r="X147" s="70">
        <f>IF(Table132[[#This Row],[Total]]&gt;=9.5, 10, ROUND(Table132[[#This Row],[Total]],0))</f>
        <v>6</v>
      </c>
      <c r="Y147" s="28"/>
      <c r="Z147" s="28"/>
      <c r="AA147" s="71"/>
    </row>
    <row r="148" spans="1:27" ht="15.75" customHeight="1">
      <c r="A148" s="26">
        <v>5</v>
      </c>
      <c r="B148" s="32">
        <v>146</v>
      </c>
      <c r="C148" s="44">
        <v>30226</v>
      </c>
      <c r="D148" s="73" t="s">
        <v>215</v>
      </c>
      <c r="E148" s="26" t="s">
        <v>24</v>
      </c>
      <c r="F148" s="27" t="s">
        <v>68</v>
      </c>
      <c r="G148" s="28">
        <v>0.6</v>
      </c>
      <c r="H148" s="28">
        <v>0.6</v>
      </c>
      <c r="I148" s="28">
        <v>0.05</v>
      </c>
      <c r="J148" s="28">
        <v>0</v>
      </c>
      <c r="K148" s="28">
        <v>0.2</v>
      </c>
      <c r="L148" s="80" t="s">
        <v>68</v>
      </c>
      <c r="M148" s="29">
        <f t="shared" si="2"/>
        <v>1.45</v>
      </c>
      <c r="N148" s="74"/>
      <c r="O148" s="74"/>
      <c r="P148" s="30">
        <v>1.3</v>
      </c>
      <c r="Q148" s="54">
        <v>2.0499999999999998</v>
      </c>
      <c r="R148" s="30"/>
      <c r="S148" s="30"/>
      <c r="T148" s="55">
        <v>3.5</v>
      </c>
      <c r="U148" s="31"/>
      <c r="V148" s="31"/>
      <c r="W148" s="38">
        <f>Table132[[#This Row],[Suma lab]]+Table132[[#This Row],[Q1]]+Table132[[#This Row],[Q2]]+MAX(Table132[[#This Row],[Partial]:[re2p]])+MAX(Table132[[#This Row],[Final]:[re2f]])</f>
        <v>7</v>
      </c>
      <c r="X148" s="70">
        <f>IF(Table132[[#This Row],[Total]]&gt;=9.5, 10, ROUND(Table132[[#This Row],[Total]],0))</f>
        <v>7</v>
      </c>
      <c r="Y148" s="28"/>
      <c r="Z148" s="28"/>
      <c r="AA148" s="65"/>
    </row>
    <row r="149" spans="1:27" ht="15.75" customHeight="1">
      <c r="A149" s="26">
        <v>6</v>
      </c>
      <c r="B149" s="32">
        <v>147</v>
      </c>
      <c r="C149" s="44">
        <v>30226</v>
      </c>
      <c r="D149" s="73" t="s">
        <v>216</v>
      </c>
      <c r="E149" s="26" t="s">
        <v>24</v>
      </c>
      <c r="F149" s="27" t="s">
        <v>68</v>
      </c>
      <c r="G149" s="28">
        <v>0.4</v>
      </c>
      <c r="H149" s="28">
        <v>0.2</v>
      </c>
      <c r="I149" s="28">
        <v>0</v>
      </c>
      <c r="J149" s="28">
        <v>0.2</v>
      </c>
      <c r="K149" s="28">
        <v>0.2</v>
      </c>
      <c r="L149" s="80" t="s">
        <v>68</v>
      </c>
      <c r="M149" s="29">
        <f t="shared" si="2"/>
        <v>1</v>
      </c>
      <c r="N149" s="74"/>
      <c r="O149" s="74"/>
      <c r="P149" s="30"/>
      <c r="Q149" s="54">
        <v>1.1499999999999999</v>
      </c>
      <c r="R149" s="30"/>
      <c r="S149" s="30"/>
      <c r="T149" s="55">
        <v>4.2</v>
      </c>
      <c r="U149" s="31"/>
      <c r="V149" s="31"/>
      <c r="W149" s="38">
        <f>Table132[[#This Row],[Suma lab]]+Table132[[#This Row],[Q1]]+Table132[[#This Row],[Q2]]+MAX(Table132[[#This Row],[Partial]:[re2p]])+MAX(Table132[[#This Row],[Final]:[re2f]])</f>
        <v>6.35</v>
      </c>
      <c r="X149" s="70">
        <f>IF(Table132[[#This Row],[Total]]&gt;=9.5, 10, ROUND(Table132[[#This Row],[Total]],0))</f>
        <v>6</v>
      </c>
      <c r="Y149" s="28"/>
      <c r="Z149" s="28"/>
      <c r="AA149" s="65"/>
    </row>
    <row r="150" spans="1:27" ht="15.75" customHeight="1">
      <c r="A150" s="26">
        <v>7</v>
      </c>
      <c r="B150" s="32">
        <v>148</v>
      </c>
      <c r="C150" s="44">
        <v>30226</v>
      </c>
      <c r="D150" s="73" t="s">
        <v>217</v>
      </c>
      <c r="E150" s="26" t="s">
        <v>24</v>
      </c>
      <c r="F150" s="27" t="s">
        <v>68</v>
      </c>
      <c r="G150" s="28">
        <v>0.4</v>
      </c>
      <c r="H150" s="28">
        <v>0</v>
      </c>
      <c r="I150" s="28">
        <v>0</v>
      </c>
      <c r="J150" s="28">
        <v>0</v>
      </c>
      <c r="K150" s="28">
        <v>0</v>
      </c>
      <c r="L150" s="80" t="s">
        <v>68</v>
      </c>
      <c r="M150" s="29">
        <f t="shared" si="2"/>
        <v>0.4</v>
      </c>
      <c r="N150" s="74"/>
      <c r="O150" s="74"/>
      <c r="P150" s="30"/>
      <c r="Q150" s="54">
        <v>1.3</v>
      </c>
      <c r="R150" s="30"/>
      <c r="S150" s="30"/>
      <c r="T150" s="55">
        <v>0.8</v>
      </c>
      <c r="U150" s="31"/>
      <c r="V150" s="31"/>
      <c r="W150" s="38">
        <f>Table132[[#This Row],[Suma lab]]+Table132[[#This Row],[Q1]]+Table132[[#This Row],[Q2]]+MAX(Table132[[#This Row],[Partial]:[re2p]])+MAX(Table132[[#This Row],[Final]:[re2f]])</f>
        <v>2.5</v>
      </c>
      <c r="X150" s="70">
        <f>IF(Table132[[#This Row],[Total]]&gt;=9.5, 10, ROUND(Table132[[#This Row],[Total]],0))</f>
        <v>3</v>
      </c>
      <c r="Y150" s="28"/>
      <c r="Z150" s="28"/>
      <c r="AA150" s="65"/>
    </row>
    <row r="151" spans="1:27" ht="15.75" customHeight="1">
      <c r="A151" s="26">
        <v>8</v>
      </c>
      <c r="B151" s="32">
        <v>149</v>
      </c>
      <c r="C151" s="44">
        <v>30226</v>
      </c>
      <c r="D151" s="73" t="s">
        <v>218</v>
      </c>
      <c r="E151" s="26" t="s">
        <v>24</v>
      </c>
      <c r="F151" s="27" t="s">
        <v>68</v>
      </c>
      <c r="G151" s="28">
        <v>0.4</v>
      </c>
      <c r="H151" s="28">
        <v>0.6</v>
      </c>
      <c r="I151" s="28">
        <v>0.1</v>
      </c>
      <c r="J151" s="28">
        <v>0.4</v>
      </c>
      <c r="K151" s="28">
        <v>0.2</v>
      </c>
      <c r="L151" s="80" t="s">
        <v>68</v>
      </c>
      <c r="M151" s="29">
        <f t="shared" si="2"/>
        <v>1.7</v>
      </c>
      <c r="N151" s="74">
        <v>0.05</v>
      </c>
      <c r="O151" s="74">
        <v>0.1</v>
      </c>
      <c r="P151" s="30">
        <v>1.7</v>
      </c>
      <c r="Q151" s="54">
        <v>0</v>
      </c>
      <c r="R151" s="30"/>
      <c r="S151" s="30"/>
      <c r="T151" s="55">
        <v>2.25</v>
      </c>
      <c r="U151" s="31"/>
      <c r="V151" s="31"/>
      <c r="W151" s="38">
        <f>Table132[[#This Row],[Suma lab]]+Table132[[#This Row],[Q1]]+Table132[[#This Row],[Q2]]+MAX(Table132[[#This Row],[Partial]:[re2p]])+MAX(Table132[[#This Row],[Final]:[re2f]])</f>
        <v>5.8</v>
      </c>
      <c r="X151" s="70">
        <f>IF(Table132[[#This Row],[Total]]&gt;=9.5, 10, ROUND(Table132[[#This Row],[Total]],0))</f>
        <v>6</v>
      </c>
      <c r="Y151" s="28"/>
      <c r="Z151" s="28"/>
      <c r="AA151" s="65"/>
    </row>
    <row r="152" spans="1:27" ht="15.75" customHeight="1">
      <c r="A152" s="26">
        <v>9</v>
      </c>
      <c r="B152" s="32">
        <v>150</v>
      </c>
      <c r="C152" s="44">
        <v>30226</v>
      </c>
      <c r="D152" s="73" t="s">
        <v>219</v>
      </c>
      <c r="E152" s="26" t="s">
        <v>24</v>
      </c>
      <c r="F152" s="27" t="s">
        <v>68</v>
      </c>
      <c r="G152" s="28">
        <v>0.6</v>
      </c>
      <c r="H152" s="28">
        <v>0.6</v>
      </c>
      <c r="I152" s="28">
        <v>0.5</v>
      </c>
      <c r="J152" s="28">
        <v>0.6</v>
      </c>
      <c r="K152" s="28">
        <v>0.4</v>
      </c>
      <c r="L152" s="28" t="s">
        <v>68</v>
      </c>
      <c r="M152" s="29">
        <f t="shared" si="2"/>
        <v>2.6999999999999997</v>
      </c>
      <c r="N152" s="74"/>
      <c r="O152" s="74"/>
      <c r="P152" s="30">
        <v>3.35</v>
      </c>
      <c r="Q152" s="54"/>
      <c r="R152" s="30"/>
      <c r="S152" s="30"/>
      <c r="T152" s="55">
        <v>5.7</v>
      </c>
      <c r="U152" s="31"/>
      <c r="V152" s="31"/>
      <c r="W152" s="38">
        <f>Table132[[#This Row],[Suma lab]]+Table132[[#This Row],[Q1]]+Table132[[#This Row],[Q2]]+MAX(Table132[[#This Row],[Partial]:[re2p]])+MAX(Table132[[#This Row],[Final]:[re2f]])</f>
        <v>11.75</v>
      </c>
      <c r="X152" s="70">
        <f>IF(Table132[[#This Row],[Total]]&gt;=9.5, 10, ROUND(Table132[[#This Row],[Total]],0))</f>
        <v>10</v>
      </c>
      <c r="Y152" s="28"/>
      <c r="Z152" s="28"/>
      <c r="AA152" s="65"/>
    </row>
    <row r="153" spans="1:27" ht="15.75" customHeight="1">
      <c r="A153" s="26">
        <v>10</v>
      </c>
      <c r="B153" s="32">
        <v>151</v>
      </c>
      <c r="C153" s="44">
        <v>30226</v>
      </c>
      <c r="D153" s="73" t="s">
        <v>220</v>
      </c>
      <c r="E153" s="26" t="s">
        <v>24</v>
      </c>
      <c r="F153" s="27" t="s">
        <v>68</v>
      </c>
      <c r="G153" s="34">
        <v>0.6</v>
      </c>
      <c r="H153" s="28">
        <v>0.4</v>
      </c>
      <c r="I153" s="28">
        <v>0.6</v>
      </c>
      <c r="J153" s="28">
        <v>0.2</v>
      </c>
      <c r="K153" s="28">
        <v>0.4</v>
      </c>
      <c r="L153" s="80" t="s">
        <v>68</v>
      </c>
      <c r="M153" s="29">
        <f t="shared" si="2"/>
        <v>2.2000000000000002</v>
      </c>
      <c r="N153" s="74">
        <v>0.5</v>
      </c>
      <c r="O153" s="74"/>
      <c r="P153" s="30">
        <v>3.6</v>
      </c>
      <c r="Q153" s="54"/>
      <c r="R153" s="30"/>
      <c r="S153" s="30"/>
      <c r="T153" s="55">
        <v>4.8</v>
      </c>
      <c r="U153" s="31"/>
      <c r="V153" s="31"/>
      <c r="W153" s="38">
        <f>Table132[[#This Row],[Suma lab]]+Table132[[#This Row],[Q1]]+Table132[[#This Row],[Q2]]+MAX(Table132[[#This Row],[Partial]:[re2p]])+MAX(Table132[[#This Row],[Final]:[re2f]])</f>
        <v>11.100000000000001</v>
      </c>
      <c r="X153" s="70">
        <f>IF(Table132[[#This Row],[Total]]&gt;=9.5, 10, ROUND(Table132[[#This Row],[Total]],0))</f>
        <v>10</v>
      </c>
      <c r="Y153" s="28"/>
      <c r="Z153" s="28"/>
      <c r="AA153" s="65"/>
    </row>
    <row r="154" spans="1:27" ht="15.75" customHeight="1">
      <c r="A154" s="26">
        <v>11</v>
      </c>
      <c r="B154" s="32">
        <v>152</v>
      </c>
      <c r="C154" s="44">
        <v>30226</v>
      </c>
      <c r="D154" s="73" t="s">
        <v>221</v>
      </c>
      <c r="E154" s="26" t="s">
        <v>24</v>
      </c>
      <c r="F154" s="27" t="s">
        <v>68</v>
      </c>
      <c r="G154" s="28">
        <v>0.6</v>
      </c>
      <c r="H154" s="28">
        <v>0.2</v>
      </c>
      <c r="I154" s="28">
        <v>0.4</v>
      </c>
      <c r="J154" s="28">
        <v>0.3</v>
      </c>
      <c r="K154" s="28">
        <v>0.6</v>
      </c>
      <c r="L154" s="80" t="s">
        <v>68</v>
      </c>
      <c r="M154" s="29">
        <f t="shared" si="2"/>
        <v>2.1</v>
      </c>
      <c r="N154" s="74">
        <v>0.35</v>
      </c>
      <c r="O154" s="74"/>
      <c r="P154" s="30">
        <v>3.3</v>
      </c>
      <c r="Q154" s="54"/>
      <c r="R154" s="30"/>
      <c r="S154" s="30"/>
      <c r="T154" s="55">
        <v>4.5999999999999996</v>
      </c>
      <c r="U154" s="31"/>
      <c r="V154" s="31"/>
      <c r="W154" s="38">
        <f>Table132[[#This Row],[Suma lab]]+Table132[[#This Row],[Q1]]+Table132[[#This Row],[Q2]]+MAX(Table132[[#This Row],[Partial]:[re2p]])+MAX(Table132[[#This Row],[Final]:[re2f]])</f>
        <v>10.35</v>
      </c>
      <c r="X154" s="70">
        <f>IF(Table132[[#This Row],[Total]]&gt;=9.5, 10, ROUND(Table132[[#This Row],[Total]],0))</f>
        <v>10</v>
      </c>
      <c r="Y154" s="28"/>
      <c r="Z154" s="28"/>
      <c r="AA154" s="65"/>
    </row>
    <row r="155" spans="1:27" ht="15.75" customHeight="1">
      <c r="A155" s="26">
        <v>12</v>
      </c>
      <c r="B155" s="32">
        <v>153</v>
      </c>
      <c r="C155" s="44">
        <v>30226</v>
      </c>
      <c r="D155" s="73" t="s">
        <v>222</v>
      </c>
      <c r="E155" s="26" t="s">
        <v>24</v>
      </c>
      <c r="F155" s="27" t="s">
        <v>68</v>
      </c>
      <c r="G155" s="34">
        <v>0.6</v>
      </c>
      <c r="H155" s="28">
        <v>0.6</v>
      </c>
      <c r="I155" s="28">
        <v>0.4</v>
      </c>
      <c r="J155" s="28">
        <v>0.2</v>
      </c>
      <c r="K155" s="28">
        <v>0.2</v>
      </c>
      <c r="L155" s="28" t="s">
        <v>68</v>
      </c>
      <c r="M155" s="29">
        <f t="shared" si="2"/>
        <v>2</v>
      </c>
      <c r="N155" s="74">
        <v>0.4</v>
      </c>
      <c r="O155" s="74">
        <v>0.4</v>
      </c>
      <c r="P155" s="30">
        <v>1.3</v>
      </c>
      <c r="Q155" s="54">
        <v>1.35</v>
      </c>
      <c r="R155" s="30"/>
      <c r="S155" s="30"/>
      <c r="T155" s="55">
        <v>5.0999999999999996</v>
      </c>
      <c r="U155" s="31"/>
      <c r="V155" s="31"/>
      <c r="W155" s="38">
        <f>Table132[[#This Row],[Suma lab]]+Table132[[#This Row],[Q1]]+Table132[[#This Row],[Q2]]+MAX(Table132[[#This Row],[Partial]:[re2p]])+MAX(Table132[[#This Row],[Final]:[re2f]])</f>
        <v>9.25</v>
      </c>
      <c r="X155" s="70">
        <f>IF(Table132[[#This Row],[Total]]&gt;=9.5, 10, ROUND(Table132[[#This Row],[Total]],0))</f>
        <v>9</v>
      </c>
      <c r="Y155" s="28"/>
      <c r="Z155" s="28"/>
      <c r="AA155" s="65"/>
    </row>
    <row r="156" spans="1:27" ht="15.75" customHeight="1">
      <c r="A156" s="26">
        <v>13</v>
      </c>
      <c r="B156" s="32">
        <v>154</v>
      </c>
      <c r="C156" s="44">
        <v>30226</v>
      </c>
      <c r="D156" s="73" t="s">
        <v>223</v>
      </c>
      <c r="E156" s="26" t="s">
        <v>24</v>
      </c>
      <c r="F156" s="27" t="s">
        <v>68</v>
      </c>
      <c r="G156" s="28">
        <v>0.2</v>
      </c>
      <c r="H156" s="28">
        <v>0.6</v>
      </c>
      <c r="I156" s="28">
        <v>0.3</v>
      </c>
      <c r="J156" s="28">
        <v>0.4</v>
      </c>
      <c r="K156" s="28">
        <v>0.2</v>
      </c>
      <c r="L156" s="80" t="s">
        <v>68</v>
      </c>
      <c r="M156" s="29">
        <f t="shared" si="2"/>
        <v>1.7</v>
      </c>
      <c r="N156" s="74">
        <v>0.3</v>
      </c>
      <c r="O156" s="74"/>
      <c r="P156" s="30">
        <v>1.5</v>
      </c>
      <c r="Q156" s="54"/>
      <c r="R156" s="30"/>
      <c r="S156" s="30"/>
      <c r="T156" s="55">
        <v>1.95</v>
      </c>
      <c r="U156" s="31"/>
      <c r="V156" s="31"/>
      <c r="W156" s="38">
        <f>Table132[[#This Row],[Suma lab]]+Table132[[#This Row],[Q1]]+Table132[[#This Row],[Q2]]+MAX(Table132[[#This Row],[Partial]:[re2p]])+MAX(Table132[[#This Row],[Final]:[re2f]])</f>
        <v>5.45</v>
      </c>
      <c r="X156" s="70">
        <f>IF(Table132[[#This Row],[Total]]&gt;=9.5, 10, ROUND(Table132[[#This Row],[Total]],0))</f>
        <v>5</v>
      </c>
      <c r="Y156" s="28"/>
      <c r="Z156" s="28"/>
      <c r="AA156" s="65"/>
    </row>
    <row r="157" spans="1:27" ht="15.75" customHeight="1">
      <c r="A157" s="26">
        <v>14</v>
      </c>
      <c r="B157" s="32">
        <v>155</v>
      </c>
      <c r="C157" s="44">
        <v>30226</v>
      </c>
      <c r="D157" s="73" t="s">
        <v>224</v>
      </c>
      <c r="E157" s="26" t="s">
        <v>25</v>
      </c>
      <c r="F157" s="27" t="s">
        <v>68</v>
      </c>
      <c r="G157" s="28">
        <v>0.1</v>
      </c>
      <c r="H157" s="28">
        <v>0.2</v>
      </c>
      <c r="I157" s="28">
        <v>0.15</v>
      </c>
      <c r="J157" s="28">
        <v>0.3</v>
      </c>
      <c r="K157" s="28">
        <v>0.1</v>
      </c>
      <c r="L157" s="28" t="s">
        <v>68</v>
      </c>
      <c r="M157" s="29">
        <f t="shared" si="2"/>
        <v>0.85</v>
      </c>
      <c r="N157" s="74">
        <v>0.2</v>
      </c>
      <c r="O157" s="74"/>
      <c r="P157" s="30">
        <v>0.3</v>
      </c>
      <c r="Q157" s="54"/>
      <c r="R157" s="30"/>
      <c r="S157" s="30"/>
      <c r="T157" s="55">
        <v>4.5999999999999996</v>
      </c>
      <c r="U157" s="31"/>
      <c r="V157" s="31"/>
      <c r="W157" s="38">
        <f>Table132[[#This Row],[Suma lab]]+Table132[[#This Row],[Q1]]+Table132[[#This Row],[Q2]]+MAX(Table132[[#This Row],[Partial]:[re2p]])+MAX(Table132[[#This Row],[Final]:[re2f]])</f>
        <v>5.9499999999999993</v>
      </c>
      <c r="X157" s="70">
        <f>IF(Table132[[#This Row],[Total]]&gt;=9.5, 10, ROUND(Table132[[#This Row],[Total]],0))</f>
        <v>6</v>
      </c>
      <c r="Y157" s="28"/>
      <c r="Z157" s="28"/>
      <c r="AA157" s="65"/>
    </row>
    <row r="158" spans="1:27" ht="15.75" customHeight="1">
      <c r="A158" s="26">
        <v>15</v>
      </c>
      <c r="B158" s="32">
        <v>156</v>
      </c>
      <c r="C158" s="44">
        <v>30226</v>
      </c>
      <c r="D158" s="73" t="s">
        <v>225</v>
      </c>
      <c r="E158" s="26" t="s">
        <v>25</v>
      </c>
      <c r="F158" s="27" t="s">
        <v>68</v>
      </c>
      <c r="G158" s="28">
        <v>0.3</v>
      </c>
      <c r="H158" s="28">
        <v>0.2</v>
      </c>
      <c r="I158" s="28">
        <v>0.1</v>
      </c>
      <c r="J158" s="28">
        <v>0.3</v>
      </c>
      <c r="K158" s="28">
        <v>0.15</v>
      </c>
      <c r="L158" s="28" t="s">
        <v>68</v>
      </c>
      <c r="M158" s="29">
        <f t="shared" si="2"/>
        <v>1.0499999999999998</v>
      </c>
      <c r="N158" s="74">
        <v>0.5</v>
      </c>
      <c r="O158" s="74"/>
      <c r="P158" s="30">
        <v>1.9</v>
      </c>
      <c r="Q158" s="54"/>
      <c r="R158" s="30"/>
      <c r="S158" s="30"/>
      <c r="T158" s="55">
        <v>1.2</v>
      </c>
      <c r="U158" s="31"/>
      <c r="V158" s="31"/>
      <c r="W158" s="38">
        <f>Table132[[#This Row],[Suma lab]]+Table132[[#This Row],[Q1]]+Table132[[#This Row],[Q2]]+MAX(Table132[[#This Row],[Partial]:[re2p]])+MAX(Table132[[#This Row],[Final]:[re2f]])</f>
        <v>4.6499999999999995</v>
      </c>
      <c r="X158" s="70">
        <f>IF(Table132[[#This Row],[Total]]&gt;=9.5, 10, ROUND(Table132[[#This Row],[Total]],0))</f>
        <v>5</v>
      </c>
      <c r="Y158" s="28"/>
      <c r="Z158" s="28"/>
      <c r="AA158" s="65"/>
    </row>
    <row r="159" spans="1:27" ht="15.75" customHeight="1">
      <c r="A159" s="26">
        <v>16</v>
      </c>
      <c r="B159" s="32">
        <v>157</v>
      </c>
      <c r="C159" s="44">
        <v>30226</v>
      </c>
      <c r="D159" s="73" t="s">
        <v>226</v>
      </c>
      <c r="E159" s="26" t="s">
        <v>25</v>
      </c>
      <c r="F159" s="27" t="s">
        <v>68</v>
      </c>
      <c r="G159" s="28">
        <v>0.3</v>
      </c>
      <c r="H159" s="28">
        <v>0.45</v>
      </c>
      <c r="I159" s="28">
        <v>0.1</v>
      </c>
      <c r="J159" s="28">
        <v>0.22</v>
      </c>
      <c r="K159" s="28">
        <v>0.22</v>
      </c>
      <c r="L159" s="28" t="s">
        <v>68</v>
      </c>
      <c r="M159" s="29">
        <f t="shared" si="2"/>
        <v>1.29</v>
      </c>
      <c r="N159" s="74"/>
      <c r="O159" s="74"/>
      <c r="P159" s="30">
        <v>0.5</v>
      </c>
      <c r="Q159" s="54">
        <v>0.85</v>
      </c>
      <c r="R159" s="30"/>
      <c r="S159" s="30"/>
      <c r="T159" s="55">
        <v>2.2999999999999998</v>
      </c>
      <c r="U159" s="31"/>
      <c r="V159" s="31"/>
      <c r="W159" s="38">
        <f>Table132[[#This Row],[Suma lab]]+Table132[[#This Row],[Q1]]+Table132[[#This Row],[Q2]]+MAX(Table132[[#This Row],[Partial]:[re2p]])+MAX(Table132[[#This Row],[Final]:[re2f]])</f>
        <v>4.4399999999999995</v>
      </c>
      <c r="X159" s="70">
        <f>IF(Table132[[#This Row],[Total]]&gt;=9.5, 10, ROUND(Table132[[#This Row],[Total]],0))</f>
        <v>4</v>
      </c>
      <c r="Y159" s="28"/>
      <c r="Z159" s="28"/>
      <c r="AA159" s="65"/>
    </row>
    <row r="160" spans="1:27" ht="15.75" customHeight="1">
      <c r="A160" s="26">
        <v>17</v>
      </c>
      <c r="B160" s="32">
        <v>158</v>
      </c>
      <c r="C160" s="44">
        <v>30226</v>
      </c>
      <c r="D160" s="73" t="s">
        <v>227</v>
      </c>
      <c r="E160" s="26" t="s">
        <v>25</v>
      </c>
      <c r="F160" s="27" t="s">
        <v>68</v>
      </c>
      <c r="G160" s="28">
        <v>0</v>
      </c>
      <c r="H160" s="28">
        <v>0.6</v>
      </c>
      <c r="I160" s="28">
        <v>0.1</v>
      </c>
      <c r="J160" s="28">
        <v>0.2</v>
      </c>
      <c r="K160" s="28">
        <v>0.6</v>
      </c>
      <c r="L160" s="80" t="s">
        <v>68</v>
      </c>
      <c r="M160" s="29">
        <f t="shared" si="2"/>
        <v>1.5</v>
      </c>
      <c r="N160" s="74"/>
      <c r="O160" s="74"/>
      <c r="P160" s="30">
        <v>3.4</v>
      </c>
      <c r="Q160" s="54"/>
      <c r="R160" s="30"/>
      <c r="S160" s="30"/>
      <c r="T160" s="55">
        <v>6</v>
      </c>
      <c r="U160" s="31"/>
      <c r="V160" s="31"/>
      <c r="W160" s="38">
        <f>Table132[[#This Row],[Suma lab]]+Table132[[#This Row],[Q1]]+Table132[[#This Row],[Q2]]+MAX(Table132[[#This Row],[Partial]:[re2p]])+MAX(Table132[[#This Row],[Final]:[re2f]])</f>
        <v>10.9</v>
      </c>
      <c r="X160" s="70">
        <f>IF(Table132[[#This Row],[Total]]&gt;=9.5, 10, ROUND(Table132[[#This Row],[Total]],0))</f>
        <v>10</v>
      </c>
      <c r="Y160" s="28"/>
      <c r="Z160" s="28"/>
      <c r="AA160" s="65"/>
    </row>
    <row r="161" spans="1:27" ht="15.75" customHeight="1">
      <c r="A161" s="26">
        <v>18</v>
      </c>
      <c r="B161" s="32">
        <v>159</v>
      </c>
      <c r="C161" s="44">
        <v>30226</v>
      </c>
      <c r="D161" s="73" t="s">
        <v>228</v>
      </c>
      <c r="E161" s="26" t="s">
        <v>25</v>
      </c>
      <c r="F161" s="27" t="s">
        <v>68</v>
      </c>
      <c r="G161" s="28">
        <v>0.6</v>
      </c>
      <c r="H161" s="28">
        <v>0.6</v>
      </c>
      <c r="I161" s="28">
        <v>0.5</v>
      </c>
      <c r="J161" s="28">
        <v>0.5</v>
      </c>
      <c r="K161" s="28">
        <v>0.52</v>
      </c>
      <c r="L161" s="28" t="s">
        <v>68</v>
      </c>
      <c r="M161" s="29">
        <f t="shared" si="2"/>
        <v>2.72</v>
      </c>
      <c r="N161" s="74"/>
      <c r="O161" s="74"/>
      <c r="P161" s="30">
        <v>1.5</v>
      </c>
      <c r="Q161" s="54">
        <v>2.2000000000000002</v>
      </c>
      <c r="R161" s="30"/>
      <c r="S161" s="30"/>
      <c r="T161" s="55">
        <v>5.4</v>
      </c>
      <c r="U161" s="31"/>
      <c r="V161" s="31"/>
      <c r="W161" s="38">
        <f>Table132[[#This Row],[Suma lab]]+Table132[[#This Row],[Q1]]+Table132[[#This Row],[Q2]]+MAX(Table132[[#This Row],[Partial]:[re2p]])+MAX(Table132[[#This Row],[Final]:[re2f]])</f>
        <v>10.32</v>
      </c>
      <c r="X161" s="70">
        <f>IF(Table132[[#This Row],[Total]]&gt;=9.5, 10, ROUND(Table132[[#This Row],[Total]],0))</f>
        <v>10</v>
      </c>
      <c r="Y161" s="28"/>
      <c r="Z161" s="28"/>
      <c r="AA161" s="65"/>
    </row>
    <row r="162" spans="1:27" ht="15.75" customHeight="1">
      <c r="A162" s="26">
        <v>19</v>
      </c>
      <c r="B162" s="32">
        <v>160</v>
      </c>
      <c r="C162" s="44">
        <v>30226</v>
      </c>
      <c r="D162" s="73" t="s">
        <v>229</v>
      </c>
      <c r="E162" s="26" t="s">
        <v>25</v>
      </c>
      <c r="F162" s="27" t="s">
        <v>68</v>
      </c>
      <c r="G162" s="34">
        <v>0.5</v>
      </c>
      <c r="H162" s="28">
        <v>0.6</v>
      </c>
      <c r="I162" s="28">
        <v>0.2</v>
      </c>
      <c r="J162" s="28">
        <v>0.2</v>
      </c>
      <c r="K162" s="28">
        <v>0.1</v>
      </c>
      <c r="L162" s="28" t="s">
        <v>68</v>
      </c>
      <c r="M162" s="29">
        <f t="shared" si="2"/>
        <v>1.6</v>
      </c>
      <c r="N162" s="74"/>
      <c r="O162" s="74"/>
      <c r="P162" s="30">
        <v>1</v>
      </c>
      <c r="Q162" s="54">
        <v>0</v>
      </c>
      <c r="R162" s="30"/>
      <c r="S162" s="30"/>
      <c r="T162" s="55">
        <v>2.95</v>
      </c>
      <c r="U162" s="31"/>
      <c r="V162" s="31"/>
      <c r="W162" s="38">
        <f>Table132[[#This Row],[Suma lab]]+Table132[[#This Row],[Q1]]+Table132[[#This Row],[Q2]]+MAX(Table132[[#This Row],[Partial]:[re2p]])+MAX(Table132[[#This Row],[Final]:[re2f]])</f>
        <v>5.5500000000000007</v>
      </c>
      <c r="X162" s="70">
        <f>IF(Table132[[#This Row],[Total]]&gt;=9.5, 10, ROUND(Table132[[#This Row],[Total]],0))</f>
        <v>6</v>
      </c>
      <c r="Y162" s="28"/>
      <c r="Z162" s="28"/>
      <c r="AA162" s="65"/>
    </row>
    <row r="163" spans="1:27" ht="15.75" customHeight="1">
      <c r="A163" s="26">
        <v>20</v>
      </c>
      <c r="B163" s="32">
        <v>161</v>
      </c>
      <c r="C163" s="44">
        <v>30226</v>
      </c>
      <c r="D163" s="73" t="s">
        <v>230</v>
      </c>
      <c r="E163" s="26" t="s">
        <v>25</v>
      </c>
      <c r="F163" s="33" t="s">
        <v>68</v>
      </c>
      <c r="G163" s="34">
        <v>0.5</v>
      </c>
      <c r="H163" s="34">
        <v>0.45</v>
      </c>
      <c r="I163" s="34">
        <v>0.5</v>
      </c>
      <c r="J163" s="34">
        <v>0.52</v>
      </c>
      <c r="K163" s="34">
        <v>0.6</v>
      </c>
      <c r="L163" s="34" t="s">
        <v>68</v>
      </c>
      <c r="M163" s="35">
        <f t="shared" si="2"/>
        <v>2.57</v>
      </c>
      <c r="N163" s="75">
        <v>0.5</v>
      </c>
      <c r="O163" s="75">
        <v>0.4</v>
      </c>
      <c r="P163" s="36">
        <v>4</v>
      </c>
      <c r="Q163" s="58"/>
      <c r="R163" s="36"/>
      <c r="S163" s="36"/>
      <c r="T163" s="59">
        <v>5.8</v>
      </c>
      <c r="U163" s="37"/>
      <c r="V163" s="37"/>
      <c r="W163" s="38">
        <f>Table132[[#This Row],[Suma lab]]+Table132[[#This Row],[Q1]]+Table132[[#This Row],[Q2]]+MAX(Table132[[#This Row],[Partial]:[re2p]])+MAX(Table132[[#This Row],[Final]:[re2f]])</f>
        <v>13.27</v>
      </c>
      <c r="X163" s="70">
        <f>IF(Table132[[#This Row],[Total]]&gt;=9.5, 10, ROUND(Table132[[#This Row],[Total]],0))</f>
        <v>10</v>
      </c>
      <c r="Y163" s="34"/>
      <c r="Z163" s="34"/>
      <c r="AA163" s="66"/>
    </row>
    <row r="164" spans="1:27" ht="15.75" customHeight="1">
      <c r="A164" s="26">
        <v>21</v>
      </c>
      <c r="B164" s="32">
        <v>162</v>
      </c>
      <c r="C164" s="42">
        <v>30226</v>
      </c>
      <c r="D164" s="73" t="s">
        <v>231</v>
      </c>
      <c r="E164" s="26" t="s">
        <v>25</v>
      </c>
      <c r="F164" s="33" t="s">
        <v>68</v>
      </c>
      <c r="G164" s="34">
        <v>0.3</v>
      </c>
      <c r="H164" s="34">
        <v>0.45</v>
      </c>
      <c r="I164" s="34">
        <v>0.2</v>
      </c>
      <c r="J164" s="34">
        <v>0.22</v>
      </c>
      <c r="K164" s="34">
        <v>0.1</v>
      </c>
      <c r="L164" s="34" t="s">
        <v>68</v>
      </c>
      <c r="M164" s="35">
        <f t="shared" si="2"/>
        <v>1.27</v>
      </c>
      <c r="N164" s="75"/>
      <c r="O164" s="75"/>
      <c r="P164" s="36">
        <v>0.7</v>
      </c>
      <c r="Q164" s="58">
        <v>2.1</v>
      </c>
      <c r="R164" s="36"/>
      <c r="S164" s="36"/>
      <c r="T164" s="59">
        <v>-0.1</v>
      </c>
      <c r="U164" s="37"/>
      <c r="V164" s="37"/>
      <c r="W164" s="38">
        <f>Table132[[#This Row],[Suma lab]]+Table132[[#This Row],[Q1]]+Table132[[#This Row],[Q2]]+MAX(Table132[[#This Row],[Partial]:[re2p]])+MAX(Table132[[#This Row],[Final]:[re2f]])</f>
        <v>3.27</v>
      </c>
      <c r="X164" s="70">
        <f>IF(Table132[[#This Row],[Total]]&gt;=9.5, 10, ROUND(Table132[[#This Row],[Total]],0))</f>
        <v>3</v>
      </c>
      <c r="Y164" s="34"/>
      <c r="Z164" s="34"/>
      <c r="AA164" s="66"/>
    </row>
    <row r="165" spans="1:27" ht="15.75" customHeight="1">
      <c r="A165" s="26">
        <v>22</v>
      </c>
      <c r="B165" s="32">
        <v>163</v>
      </c>
      <c r="C165" s="42">
        <v>30226</v>
      </c>
      <c r="D165" s="73" t="s">
        <v>232</v>
      </c>
      <c r="E165" s="26" t="s">
        <v>25</v>
      </c>
      <c r="F165" s="27" t="s">
        <v>68</v>
      </c>
      <c r="G165" s="28">
        <v>0.4</v>
      </c>
      <c r="H165" s="28">
        <v>0.32</v>
      </c>
      <c r="I165" s="28">
        <v>0.5</v>
      </c>
      <c r="J165" s="28">
        <v>0.6</v>
      </c>
      <c r="K165" s="28">
        <v>0.4</v>
      </c>
      <c r="L165" s="28" t="s">
        <v>68</v>
      </c>
      <c r="M165" s="29">
        <f t="shared" si="2"/>
        <v>2.2199999999999998</v>
      </c>
      <c r="N165" s="74"/>
      <c r="O165" s="74"/>
      <c r="P165" s="30">
        <v>1.25</v>
      </c>
      <c r="Q165" s="54"/>
      <c r="R165" s="30"/>
      <c r="S165" s="30"/>
      <c r="T165" s="55">
        <v>2.4</v>
      </c>
      <c r="U165" s="31"/>
      <c r="V165" s="31"/>
      <c r="W165" s="38">
        <f>Table132[[#This Row],[Suma lab]]+Table132[[#This Row],[Q1]]+Table132[[#This Row],[Q2]]+MAX(Table132[[#This Row],[Partial]:[re2p]])+MAX(Table132[[#This Row],[Final]:[re2f]])</f>
        <v>5.8699999999999992</v>
      </c>
      <c r="X165" s="70">
        <f>IF(Table132[[#This Row],[Total]]&gt;=9.5, 10, ROUND(Table132[[#This Row],[Total]],0))</f>
        <v>6</v>
      </c>
      <c r="Y165" s="28"/>
      <c r="Z165" s="28"/>
      <c r="AA165" s="65"/>
    </row>
    <row r="166" spans="1:27" ht="15.75" customHeight="1">
      <c r="A166" s="26">
        <v>23</v>
      </c>
      <c r="B166" s="32">
        <v>164</v>
      </c>
      <c r="C166" s="42">
        <v>30226</v>
      </c>
      <c r="D166" s="73" t="s">
        <v>233</v>
      </c>
      <c r="E166" s="26" t="s">
        <v>25</v>
      </c>
      <c r="F166" s="27" t="s">
        <v>68</v>
      </c>
      <c r="G166" s="28">
        <v>0.45</v>
      </c>
      <c r="H166" s="28">
        <v>0.45</v>
      </c>
      <c r="I166" s="28">
        <v>0.32</v>
      </c>
      <c r="J166" s="28">
        <v>0.5</v>
      </c>
      <c r="K166" s="28">
        <v>0.6</v>
      </c>
      <c r="L166" s="28" t="s">
        <v>68</v>
      </c>
      <c r="M166" s="29">
        <f t="shared" si="2"/>
        <v>2.3199999999999998</v>
      </c>
      <c r="N166" s="74"/>
      <c r="O166" s="74"/>
      <c r="P166" s="30">
        <v>1.2</v>
      </c>
      <c r="Q166" s="54">
        <v>2.9</v>
      </c>
      <c r="R166" s="30"/>
      <c r="S166" s="30"/>
      <c r="T166" s="55">
        <v>3.7</v>
      </c>
      <c r="U166" s="31"/>
      <c r="V166" s="31"/>
      <c r="W166" s="38">
        <f>Table132[[#This Row],[Suma lab]]+Table132[[#This Row],[Q1]]+Table132[[#This Row],[Q2]]+MAX(Table132[[#This Row],[Partial]:[re2p]])+MAX(Table132[[#This Row],[Final]:[re2f]])</f>
        <v>8.92</v>
      </c>
      <c r="X166" s="70">
        <f>IF(Table132[[#This Row],[Total]]&gt;=9.5, 10, ROUND(Table132[[#This Row],[Total]],0))</f>
        <v>9</v>
      </c>
      <c r="Y166" s="28"/>
      <c r="Z166" s="28"/>
      <c r="AA166" s="65"/>
    </row>
    <row r="167" spans="1:27" ht="15.75" customHeight="1">
      <c r="A167" s="26">
        <v>24</v>
      </c>
      <c r="B167" s="32">
        <v>165</v>
      </c>
      <c r="C167" s="42">
        <v>30226</v>
      </c>
      <c r="D167" s="73" t="s">
        <v>234</v>
      </c>
      <c r="E167" s="26" t="s">
        <v>25</v>
      </c>
      <c r="F167" s="27" t="s">
        <v>68</v>
      </c>
      <c r="G167" s="28">
        <v>0.5</v>
      </c>
      <c r="H167" s="28">
        <v>0.5</v>
      </c>
      <c r="I167" s="28">
        <v>0.5</v>
      </c>
      <c r="J167" s="28">
        <v>0.6</v>
      </c>
      <c r="K167" s="28">
        <v>0.3</v>
      </c>
      <c r="L167" s="28" t="s">
        <v>68</v>
      </c>
      <c r="M167" s="29">
        <f t="shared" si="2"/>
        <v>2.4</v>
      </c>
      <c r="N167" s="74"/>
      <c r="O167" s="74"/>
      <c r="P167" s="30">
        <v>4</v>
      </c>
      <c r="Q167" s="54"/>
      <c r="R167" s="30"/>
      <c r="S167" s="30"/>
      <c r="T167" s="55">
        <v>4.45</v>
      </c>
      <c r="U167" s="31"/>
      <c r="V167" s="31"/>
      <c r="W167" s="38">
        <f>Table132[[#This Row],[Suma lab]]+Table132[[#This Row],[Q1]]+Table132[[#This Row],[Q2]]+MAX(Table132[[#This Row],[Partial]:[re2p]])+MAX(Table132[[#This Row],[Final]:[re2f]])</f>
        <v>10.850000000000001</v>
      </c>
      <c r="X167" s="70">
        <f>IF(Table132[[#This Row],[Total]]&gt;=9.5, 10, ROUND(Table132[[#This Row],[Total]],0))</f>
        <v>10</v>
      </c>
      <c r="Y167" s="28"/>
      <c r="Z167" s="28"/>
      <c r="AA167" s="65"/>
    </row>
    <row r="168" spans="1:27" ht="15.75" customHeight="1">
      <c r="A168" s="26">
        <v>25</v>
      </c>
      <c r="B168" s="32">
        <v>166</v>
      </c>
      <c r="C168" s="42">
        <v>30226</v>
      </c>
      <c r="D168" s="73" t="s">
        <v>235</v>
      </c>
      <c r="E168" s="26" t="s">
        <v>25</v>
      </c>
      <c r="F168" s="27" t="s">
        <v>68</v>
      </c>
      <c r="G168" s="28">
        <v>0.5</v>
      </c>
      <c r="H168" s="28">
        <v>0.22</v>
      </c>
      <c r="I168" s="28">
        <v>0.43</v>
      </c>
      <c r="J168" s="28">
        <v>0.6</v>
      </c>
      <c r="K168" s="28">
        <v>0.2</v>
      </c>
      <c r="L168" s="28" t="s">
        <v>68</v>
      </c>
      <c r="M168" s="29">
        <f t="shared" si="2"/>
        <v>1.95</v>
      </c>
      <c r="N168" s="74"/>
      <c r="O168" s="74"/>
      <c r="P168" s="30">
        <v>1.8</v>
      </c>
      <c r="Q168" s="54">
        <v>0</v>
      </c>
      <c r="R168" s="30"/>
      <c r="S168" s="30"/>
      <c r="T168" s="55">
        <v>3.05</v>
      </c>
      <c r="U168" s="31"/>
      <c r="V168" s="31"/>
      <c r="W168" s="38">
        <f>Table132[[#This Row],[Suma lab]]+Table132[[#This Row],[Q1]]+Table132[[#This Row],[Q2]]+MAX(Table132[[#This Row],[Partial]:[re2p]])+MAX(Table132[[#This Row],[Final]:[re2f]])</f>
        <v>6.8</v>
      </c>
      <c r="X168" s="70">
        <f>IF(Table132[[#This Row],[Total]]&gt;=9.5, 10, ROUND(Table132[[#This Row],[Total]],0))</f>
        <v>7</v>
      </c>
      <c r="Y168" s="28"/>
      <c r="Z168" s="28"/>
      <c r="AA168" s="65"/>
    </row>
    <row r="169" spans="1:27" ht="15.75" customHeight="1">
      <c r="A169" s="26">
        <v>26</v>
      </c>
      <c r="B169" s="32">
        <v>167</v>
      </c>
      <c r="C169" s="42">
        <v>30226</v>
      </c>
      <c r="D169" s="73" t="s">
        <v>236</v>
      </c>
      <c r="E169" s="26" t="s">
        <v>25</v>
      </c>
      <c r="F169" s="27" t="s">
        <v>68</v>
      </c>
      <c r="G169" s="28">
        <v>0.2</v>
      </c>
      <c r="H169" s="28">
        <v>0.55000000000000004</v>
      </c>
      <c r="I169" s="28">
        <v>0.4</v>
      </c>
      <c r="J169" s="28">
        <v>0.45</v>
      </c>
      <c r="K169" s="28">
        <v>0.5</v>
      </c>
      <c r="L169" s="28" t="s">
        <v>68</v>
      </c>
      <c r="M169" s="29">
        <f t="shared" si="2"/>
        <v>2.0999999999999996</v>
      </c>
      <c r="N169" s="74">
        <v>0.3</v>
      </c>
      <c r="O169" s="74">
        <v>0.5</v>
      </c>
      <c r="P169" s="30">
        <v>0.75</v>
      </c>
      <c r="Q169" s="54">
        <v>0</v>
      </c>
      <c r="R169" s="30"/>
      <c r="S169" s="30"/>
      <c r="T169" s="55">
        <v>4.9000000000000004</v>
      </c>
      <c r="U169" s="31"/>
      <c r="V169" s="31"/>
      <c r="W169" s="38">
        <f>Table132[[#This Row],[Suma lab]]+Table132[[#This Row],[Q1]]+Table132[[#This Row],[Q2]]+MAX(Table132[[#This Row],[Partial]:[re2p]])+MAX(Table132[[#This Row],[Final]:[re2f]])</f>
        <v>8.5500000000000007</v>
      </c>
      <c r="X169" s="70">
        <f>IF(Table132[[#This Row],[Total]]&gt;=9.5, 10, ROUND(Table132[[#This Row],[Total]],0))</f>
        <v>9</v>
      </c>
      <c r="Y169" s="28"/>
      <c r="Z169" s="28"/>
      <c r="AA169" s="65"/>
    </row>
    <row r="170" spans="1:27" ht="15.75" customHeight="1">
      <c r="A170" s="26">
        <v>27</v>
      </c>
      <c r="B170" s="32">
        <v>168</v>
      </c>
      <c r="C170" s="42">
        <v>30226</v>
      </c>
      <c r="D170" s="73" t="s">
        <v>237</v>
      </c>
      <c r="E170" s="26" t="s">
        <v>25</v>
      </c>
      <c r="F170" s="27" t="s">
        <v>68</v>
      </c>
      <c r="G170" s="28">
        <v>0.6</v>
      </c>
      <c r="H170" s="28">
        <v>0.6</v>
      </c>
      <c r="I170" s="28">
        <v>0.4</v>
      </c>
      <c r="J170" s="28">
        <v>0.6</v>
      </c>
      <c r="K170" s="28">
        <v>0.6</v>
      </c>
      <c r="L170" s="28" t="s">
        <v>68</v>
      </c>
      <c r="M170" s="29">
        <f t="shared" si="2"/>
        <v>2.8000000000000003</v>
      </c>
      <c r="N170" s="74"/>
      <c r="O170" s="74">
        <v>0.15</v>
      </c>
      <c r="P170" s="30">
        <v>3.5</v>
      </c>
      <c r="Q170" s="54"/>
      <c r="R170" s="30"/>
      <c r="S170" s="30"/>
      <c r="T170" s="55">
        <v>5.7</v>
      </c>
      <c r="U170" s="31"/>
      <c r="V170" s="31"/>
      <c r="W170" s="38">
        <f>Table132[[#This Row],[Suma lab]]+Table132[[#This Row],[Q1]]+Table132[[#This Row],[Q2]]+MAX(Table132[[#This Row],[Partial]:[re2p]])+MAX(Table132[[#This Row],[Final]:[re2f]])</f>
        <v>12.15</v>
      </c>
      <c r="X170" s="70">
        <f>IF(Table132[[#This Row],[Total]]&gt;=9.5, 10, ROUND(Table132[[#This Row],[Total]],0))</f>
        <v>10</v>
      </c>
      <c r="Y170" s="28"/>
      <c r="Z170" s="28"/>
      <c r="AA170" s="65"/>
    </row>
    <row r="171" spans="1:27" ht="15.75" customHeight="1">
      <c r="A171" s="26">
        <v>1</v>
      </c>
      <c r="B171" s="32">
        <v>169</v>
      </c>
      <c r="C171" s="40">
        <v>30227</v>
      </c>
      <c r="D171" s="73" t="s">
        <v>238</v>
      </c>
      <c r="E171" s="26" t="s">
        <v>26</v>
      </c>
      <c r="F171" s="27" t="s">
        <v>68</v>
      </c>
      <c r="G171" s="28">
        <v>0.3</v>
      </c>
      <c r="H171" s="28">
        <v>0</v>
      </c>
      <c r="I171" s="28">
        <v>0.2</v>
      </c>
      <c r="J171" s="28">
        <v>0.4</v>
      </c>
      <c r="K171" s="28">
        <v>0</v>
      </c>
      <c r="L171" s="28" t="s">
        <v>68</v>
      </c>
      <c r="M171" s="29">
        <f t="shared" si="2"/>
        <v>0.9</v>
      </c>
      <c r="N171" s="74"/>
      <c r="O171" s="74"/>
      <c r="P171" s="30">
        <v>1.6</v>
      </c>
      <c r="Q171" s="54"/>
      <c r="R171" s="30"/>
      <c r="S171" s="30"/>
      <c r="T171" s="55">
        <v>3.9</v>
      </c>
      <c r="U171" s="31"/>
      <c r="V171" s="31"/>
      <c r="W171" s="38">
        <f>Table132[[#This Row],[Suma lab]]+Table132[[#This Row],[Q1]]+Table132[[#This Row],[Q2]]+MAX(Table132[[#This Row],[Partial]:[re2p]])+MAX(Table132[[#This Row],[Final]:[re2f]])</f>
        <v>6.4</v>
      </c>
      <c r="X171" s="70">
        <f>IF(Table132[[#This Row],[Total]]&gt;=9.5, 10, ROUND(Table132[[#This Row],[Total]],0))</f>
        <v>6</v>
      </c>
      <c r="Y171" s="28"/>
      <c r="Z171" s="28"/>
      <c r="AA171" s="71"/>
    </row>
    <row r="172" spans="1:27" ht="15.75" customHeight="1">
      <c r="A172" s="26">
        <v>2</v>
      </c>
      <c r="B172" s="32">
        <v>170</v>
      </c>
      <c r="C172" s="40">
        <v>30227</v>
      </c>
      <c r="D172" s="73" t="s">
        <v>239</v>
      </c>
      <c r="E172" s="26" t="s">
        <v>26</v>
      </c>
      <c r="F172" s="27" t="s">
        <v>68</v>
      </c>
      <c r="G172" s="28">
        <v>0.2</v>
      </c>
      <c r="H172" s="28">
        <v>0</v>
      </c>
      <c r="I172" s="28">
        <v>0.1</v>
      </c>
      <c r="J172" s="28">
        <v>0.4</v>
      </c>
      <c r="K172" s="28">
        <v>0.4</v>
      </c>
      <c r="L172" s="28" t="s">
        <v>68</v>
      </c>
      <c r="M172" s="29">
        <f t="shared" si="2"/>
        <v>1.1000000000000001</v>
      </c>
      <c r="N172" s="74"/>
      <c r="O172" s="74"/>
      <c r="P172" s="30"/>
      <c r="Q172" s="54">
        <v>2</v>
      </c>
      <c r="R172" s="30"/>
      <c r="S172" s="30"/>
      <c r="T172" s="55">
        <v>4.5</v>
      </c>
      <c r="U172" s="31"/>
      <c r="V172" s="31"/>
      <c r="W172" s="38">
        <f>Table132[[#This Row],[Suma lab]]+Table132[[#This Row],[Q1]]+Table132[[#This Row],[Q2]]+MAX(Table132[[#This Row],[Partial]:[re2p]])+MAX(Table132[[#This Row],[Final]:[re2f]])</f>
        <v>7.6</v>
      </c>
      <c r="X172" s="70">
        <f>IF(Table132[[#This Row],[Total]]&gt;=9.5, 10, ROUND(Table132[[#This Row],[Total]],0))</f>
        <v>8</v>
      </c>
      <c r="Y172" s="28"/>
      <c r="Z172" s="28"/>
      <c r="AA172" s="71"/>
    </row>
    <row r="173" spans="1:27" ht="15.75" customHeight="1">
      <c r="A173" s="26">
        <v>3</v>
      </c>
      <c r="B173" s="32">
        <v>171</v>
      </c>
      <c r="C173" s="40">
        <v>30227</v>
      </c>
      <c r="D173" s="73" t="s">
        <v>240</v>
      </c>
      <c r="E173" s="26" t="s">
        <v>26</v>
      </c>
      <c r="F173" s="27" t="s">
        <v>68</v>
      </c>
      <c r="G173" s="28">
        <v>0.6</v>
      </c>
      <c r="H173" s="28">
        <v>0.6</v>
      </c>
      <c r="I173" s="28">
        <v>0.5</v>
      </c>
      <c r="J173" s="28" t="s">
        <v>77</v>
      </c>
      <c r="K173" s="28">
        <v>0.1</v>
      </c>
      <c r="L173" s="28" t="s">
        <v>68</v>
      </c>
      <c r="M173" s="29">
        <f t="shared" si="2"/>
        <v>1.8</v>
      </c>
      <c r="N173" s="74">
        <v>0.2</v>
      </c>
      <c r="O173" s="74"/>
      <c r="P173" s="30">
        <v>3.2</v>
      </c>
      <c r="Q173" s="54"/>
      <c r="R173" s="30"/>
      <c r="S173" s="30"/>
      <c r="T173" s="55">
        <v>5.7</v>
      </c>
      <c r="U173" s="31"/>
      <c r="V173" s="31"/>
      <c r="W173" s="38">
        <f>Table132[[#This Row],[Suma lab]]+Table132[[#This Row],[Q1]]+Table132[[#This Row],[Q2]]+MAX(Table132[[#This Row],[Partial]:[re2p]])+MAX(Table132[[#This Row],[Final]:[re2f]])</f>
        <v>10.9</v>
      </c>
      <c r="X173" s="70">
        <f>IF(Table132[[#This Row],[Total]]&gt;=9.5, 10, ROUND(Table132[[#This Row],[Total]],0))</f>
        <v>10</v>
      </c>
      <c r="Y173" s="28"/>
      <c r="Z173" s="28"/>
      <c r="AA173" s="71"/>
    </row>
    <row r="174" spans="1:27" ht="15.75" customHeight="1">
      <c r="A174" s="26">
        <v>4</v>
      </c>
      <c r="B174" s="32">
        <v>172</v>
      </c>
      <c r="C174" s="40">
        <v>30227</v>
      </c>
      <c r="D174" s="73" t="s">
        <v>241</v>
      </c>
      <c r="E174" s="26" t="s">
        <v>26</v>
      </c>
      <c r="F174" s="27" t="s">
        <v>68</v>
      </c>
      <c r="G174" s="28">
        <v>0.3</v>
      </c>
      <c r="H174" s="28" t="s">
        <v>77</v>
      </c>
      <c r="I174" s="28" t="s">
        <v>77</v>
      </c>
      <c r="J174" s="28">
        <v>0.6</v>
      </c>
      <c r="K174" s="28">
        <v>0.3</v>
      </c>
      <c r="L174" s="28" t="s">
        <v>68</v>
      </c>
      <c r="M174" s="29">
        <f t="shared" si="2"/>
        <v>1.2</v>
      </c>
      <c r="N174" s="74"/>
      <c r="O174" s="74"/>
      <c r="P174" s="30">
        <v>0.95</v>
      </c>
      <c r="Q174" s="54"/>
      <c r="R174" s="30"/>
      <c r="S174" s="30"/>
      <c r="T174" s="55">
        <v>2.4</v>
      </c>
      <c r="U174" s="31"/>
      <c r="V174" s="31"/>
      <c r="W174" s="38">
        <f>Table132[[#This Row],[Suma lab]]+Table132[[#This Row],[Q1]]+Table132[[#This Row],[Q2]]+MAX(Table132[[#This Row],[Partial]:[re2p]])+MAX(Table132[[#This Row],[Final]:[re2f]])</f>
        <v>4.55</v>
      </c>
      <c r="X174" s="70">
        <f>IF(Table132[[#This Row],[Total]]&gt;=9.5, 10, ROUND(Table132[[#This Row],[Total]],0))</f>
        <v>5</v>
      </c>
      <c r="Y174" s="28"/>
      <c r="Z174" s="28"/>
      <c r="AA174" s="65"/>
    </row>
    <row r="175" spans="1:27" ht="15.75" customHeight="1">
      <c r="A175" s="26">
        <v>5</v>
      </c>
      <c r="B175" s="32">
        <v>173</v>
      </c>
      <c r="C175" s="40">
        <v>30227</v>
      </c>
      <c r="D175" s="73" t="s">
        <v>242</v>
      </c>
      <c r="E175" s="26" t="s">
        <v>26</v>
      </c>
      <c r="F175" s="27" t="s">
        <v>68</v>
      </c>
      <c r="G175" s="28">
        <v>0.6</v>
      </c>
      <c r="H175" s="28">
        <v>0.6</v>
      </c>
      <c r="I175" s="28">
        <v>0.45</v>
      </c>
      <c r="J175" s="28">
        <v>0.6</v>
      </c>
      <c r="K175" s="28">
        <v>0.3</v>
      </c>
      <c r="L175" s="28" t="s">
        <v>68</v>
      </c>
      <c r="M175" s="29">
        <f t="shared" si="2"/>
        <v>2.5499999999999998</v>
      </c>
      <c r="N175" s="74">
        <v>0.1</v>
      </c>
      <c r="O175" s="74"/>
      <c r="P175" s="30">
        <v>2.4</v>
      </c>
      <c r="Q175" s="54"/>
      <c r="R175" s="30"/>
      <c r="S175" s="30"/>
      <c r="T175" s="55">
        <v>1.5</v>
      </c>
      <c r="U175" s="31"/>
      <c r="V175" s="31"/>
      <c r="W175" s="38">
        <f>Table132[[#This Row],[Suma lab]]+Table132[[#This Row],[Q1]]+Table132[[#This Row],[Q2]]+MAX(Table132[[#This Row],[Partial]:[re2p]])+MAX(Table132[[#This Row],[Final]:[re2f]])</f>
        <v>6.55</v>
      </c>
      <c r="X175" s="70">
        <f>IF(Table132[[#This Row],[Total]]&gt;=9.5, 10, ROUND(Table132[[#This Row],[Total]],0))</f>
        <v>7</v>
      </c>
      <c r="Y175" s="28"/>
      <c r="Z175" s="28"/>
      <c r="AA175" s="65"/>
    </row>
    <row r="176" spans="1:27" ht="15.75" customHeight="1">
      <c r="A176" s="26">
        <v>6</v>
      </c>
      <c r="B176" s="32">
        <v>174</v>
      </c>
      <c r="C176" s="40">
        <v>30227</v>
      </c>
      <c r="D176" s="73" t="s">
        <v>243</v>
      </c>
      <c r="E176" s="26" t="s">
        <v>26</v>
      </c>
      <c r="F176" s="27" t="s">
        <v>68</v>
      </c>
      <c r="G176" s="28">
        <v>0.6</v>
      </c>
      <c r="H176" s="28">
        <v>0.3</v>
      </c>
      <c r="I176" s="28">
        <v>0.45</v>
      </c>
      <c r="J176" s="28">
        <v>0.6</v>
      </c>
      <c r="K176" s="28">
        <v>0.35</v>
      </c>
      <c r="L176" s="28" t="s">
        <v>68</v>
      </c>
      <c r="M176" s="29">
        <f t="shared" si="2"/>
        <v>2.2999999999999998</v>
      </c>
      <c r="N176" s="74">
        <v>0.2</v>
      </c>
      <c r="O176" s="74">
        <v>0.05</v>
      </c>
      <c r="P176" s="30">
        <v>2.1</v>
      </c>
      <c r="Q176" s="54"/>
      <c r="R176" s="30"/>
      <c r="S176" s="30"/>
      <c r="T176" s="55">
        <v>3.5</v>
      </c>
      <c r="U176" s="31"/>
      <c r="V176" s="31"/>
      <c r="W176" s="38">
        <f>Table132[[#This Row],[Suma lab]]+Table132[[#This Row],[Q1]]+Table132[[#This Row],[Q2]]+MAX(Table132[[#This Row],[Partial]:[re2p]])+MAX(Table132[[#This Row],[Final]:[re2f]])</f>
        <v>8.15</v>
      </c>
      <c r="X176" s="70">
        <f>IF(Table132[[#This Row],[Total]]&gt;=9.5, 10, ROUND(Table132[[#This Row],[Total]],0))</f>
        <v>8</v>
      </c>
      <c r="Y176" s="28"/>
      <c r="Z176" s="28"/>
      <c r="AA176" s="65"/>
    </row>
    <row r="177" spans="1:27" ht="15.75" customHeight="1">
      <c r="A177" s="26">
        <v>7</v>
      </c>
      <c r="B177" s="32">
        <v>175</v>
      </c>
      <c r="C177" s="40">
        <v>30227</v>
      </c>
      <c r="D177" s="73" t="s">
        <v>244</v>
      </c>
      <c r="E177" s="26" t="s">
        <v>25</v>
      </c>
      <c r="F177" s="27" t="s">
        <v>68</v>
      </c>
      <c r="G177" s="28">
        <v>0.6</v>
      </c>
      <c r="H177" s="28">
        <v>0.6</v>
      </c>
      <c r="I177" s="28">
        <v>0.4</v>
      </c>
      <c r="J177" s="28">
        <v>0.4</v>
      </c>
      <c r="K177" s="28">
        <v>0.12</v>
      </c>
      <c r="L177" s="28" t="s">
        <v>68</v>
      </c>
      <c r="M177" s="29">
        <f t="shared" si="2"/>
        <v>2.12</v>
      </c>
      <c r="N177" s="74">
        <v>0.1</v>
      </c>
      <c r="O177" s="74">
        <v>0.25</v>
      </c>
      <c r="P177" s="30">
        <v>0.95</v>
      </c>
      <c r="Q177" s="54">
        <v>0.8</v>
      </c>
      <c r="R177" s="30"/>
      <c r="S177" s="30"/>
      <c r="T177" s="55">
        <v>1.6</v>
      </c>
      <c r="U177" s="31"/>
      <c r="V177" s="31"/>
      <c r="W177" s="38">
        <f>Table132[[#This Row],[Suma lab]]+Table132[[#This Row],[Q1]]+Table132[[#This Row],[Q2]]+MAX(Table132[[#This Row],[Partial]:[re2p]])+MAX(Table132[[#This Row],[Final]:[re2f]])</f>
        <v>5.0199999999999996</v>
      </c>
      <c r="X177" s="70">
        <f>IF(Table132[[#This Row],[Total]]&gt;=9.5, 10, ROUND(Table132[[#This Row],[Total]],0))</f>
        <v>5</v>
      </c>
      <c r="Y177" s="28"/>
      <c r="Z177" s="28"/>
      <c r="AA177" s="65"/>
    </row>
    <row r="178" spans="1:27" ht="15.75" customHeight="1">
      <c r="A178" s="26">
        <v>8</v>
      </c>
      <c r="B178" s="32">
        <v>176</v>
      </c>
      <c r="C178" s="40">
        <v>30227</v>
      </c>
      <c r="D178" s="73" t="s">
        <v>245</v>
      </c>
      <c r="E178" s="26" t="s">
        <v>26</v>
      </c>
      <c r="F178" s="27" t="s">
        <v>68</v>
      </c>
      <c r="G178" s="28">
        <v>0</v>
      </c>
      <c r="H178" s="28">
        <v>0</v>
      </c>
      <c r="I178" s="28">
        <v>0.2</v>
      </c>
      <c r="J178" s="28">
        <v>0.2</v>
      </c>
      <c r="K178" s="28" t="s">
        <v>77</v>
      </c>
      <c r="L178" s="28" t="s">
        <v>68</v>
      </c>
      <c r="M178" s="29">
        <f t="shared" si="2"/>
        <v>0.4</v>
      </c>
      <c r="N178" s="74">
        <v>0</v>
      </c>
      <c r="O178" s="74"/>
      <c r="P178" s="30">
        <v>1.2</v>
      </c>
      <c r="Q178" s="54"/>
      <c r="R178" s="30"/>
      <c r="S178" s="30"/>
      <c r="T178" s="55">
        <v>2</v>
      </c>
      <c r="U178" s="31"/>
      <c r="V178" s="31"/>
      <c r="W178" s="38">
        <f>Table132[[#This Row],[Suma lab]]+Table132[[#This Row],[Q1]]+Table132[[#This Row],[Q2]]+MAX(Table132[[#This Row],[Partial]:[re2p]])+MAX(Table132[[#This Row],[Final]:[re2f]])</f>
        <v>3.6</v>
      </c>
      <c r="X178" s="70">
        <f>IF(Table132[[#This Row],[Total]]&gt;=9.5, 10, ROUND(Table132[[#This Row],[Total]],0))</f>
        <v>4</v>
      </c>
      <c r="Y178" s="28"/>
      <c r="Z178" s="28"/>
      <c r="AA178" s="65"/>
    </row>
    <row r="179" spans="1:27" ht="15.75" customHeight="1">
      <c r="A179" s="26">
        <v>9</v>
      </c>
      <c r="B179" s="32">
        <v>177</v>
      </c>
      <c r="C179" s="40">
        <v>30227</v>
      </c>
      <c r="D179" s="73" t="s">
        <v>246</v>
      </c>
      <c r="E179" s="26" t="s">
        <v>26</v>
      </c>
      <c r="F179" s="27" t="s">
        <v>68</v>
      </c>
      <c r="G179" s="28">
        <v>0.6</v>
      </c>
      <c r="H179" s="28">
        <v>0.2</v>
      </c>
      <c r="I179" s="28">
        <v>0.1</v>
      </c>
      <c r="J179" s="28">
        <v>0</v>
      </c>
      <c r="K179" s="28">
        <v>0.1</v>
      </c>
      <c r="L179" s="28" t="s">
        <v>77</v>
      </c>
      <c r="M179" s="29">
        <f t="shared" si="2"/>
        <v>1</v>
      </c>
      <c r="N179" s="74"/>
      <c r="O179" s="74"/>
      <c r="P179" s="30">
        <v>2.7</v>
      </c>
      <c r="Q179" s="54">
        <v>2.4</v>
      </c>
      <c r="R179" s="30"/>
      <c r="S179" s="30"/>
      <c r="T179" s="55">
        <v>5.25</v>
      </c>
      <c r="U179" s="31"/>
      <c r="V179" s="31"/>
      <c r="W179" s="38">
        <f>Table132[[#This Row],[Suma lab]]+Table132[[#This Row],[Q1]]+Table132[[#This Row],[Q2]]+MAX(Table132[[#This Row],[Partial]:[re2p]])+MAX(Table132[[#This Row],[Final]:[re2f]])</f>
        <v>8.9499999999999993</v>
      </c>
      <c r="X179" s="70">
        <f>IF(Table132[[#This Row],[Total]]&gt;=9.5, 10, ROUND(Table132[[#This Row],[Total]],0))</f>
        <v>9</v>
      </c>
      <c r="Y179" s="28"/>
      <c r="Z179" s="28"/>
      <c r="AA179" s="65"/>
    </row>
    <row r="180" spans="1:27" ht="15.75" customHeight="1">
      <c r="A180" s="26">
        <v>10</v>
      </c>
      <c r="B180" s="32">
        <v>178</v>
      </c>
      <c r="C180" s="40">
        <v>30227</v>
      </c>
      <c r="D180" s="73" t="s">
        <v>247</v>
      </c>
      <c r="E180" s="26" t="s">
        <v>26</v>
      </c>
      <c r="F180" s="27" t="s">
        <v>68</v>
      </c>
      <c r="G180" s="28">
        <v>0.25</v>
      </c>
      <c r="H180" s="28">
        <v>0</v>
      </c>
      <c r="I180" s="28">
        <v>0.5</v>
      </c>
      <c r="J180" s="28">
        <v>0.4</v>
      </c>
      <c r="K180" s="28">
        <v>0.55000000000000004</v>
      </c>
      <c r="L180" s="28" t="s">
        <v>68</v>
      </c>
      <c r="M180" s="29">
        <f t="shared" si="2"/>
        <v>1.7</v>
      </c>
      <c r="N180" s="74">
        <v>0.35</v>
      </c>
      <c r="O180" s="74"/>
      <c r="P180" s="30">
        <v>1.7</v>
      </c>
      <c r="Q180" s="54"/>
      <c r="R180" s="30"/>
      <c r="S180" s="30"/>
      <c r="T180" s="55">
        <v>5.45</v>
      </c>
      <c r="U180" s="31"/>
      <c r="V180" s="31"/>
      <c r="W180" s="38">
        <f>Table132[[#This Row],[Suma lab]]+Table132[[#This Row],[Q1]]+Table132[[#This Row],[Q2]]+MAX(Table132[[#This Row],[Partial]:[re2p]])+MAX(Table132[[#This Row],[Final]:[re2f]])</f>
        <v>9.1999999999999993</v>
      </c>
      <c r="X180" s="70">
        <f>IF(Table132[[#This Row],[Total]]&gt;=9.5, 10, ROUND(Table132[[#This Row],[Total]],0))</f>
        <v>9</v>
      </c>
      <c r="Y180" s="28"/>
      <c r="Z180" s="28"/>
      <c r="AA180" s="65"/>
    </row>
    <row r="181" spans="1:27" ht="15.75" customHeight="1">
      <c r="A181" s="26">
        <v>11</v>
      </c>
      <c r="B181" s="32">
        <v>179</v>
      </c>
      <c r="C181" s="40">
        <v>30227</v>
      </c>
      <c r="D181" s="73" t="s">
        <v>248</v>
      </c>
      <c r="E181" s="26" t="s">
        <v>26</v>
      </c>
      <c r="F181" s="27" t="s">
        <v>68</v>
      </c>
      <c r="G181" s="28">
        <v>0.55000000000000004</v>
      </c>
      <c r="H181" s="28">
        <v>0.42</v>
      </c>
      <c r="I181" s="28">
        <v>0.3</v>
      </c>
      <c r="J181" s="28">
        <v>0.6</v>
      </c>
      <c r="K181" s="28" t="s">
        <v>77</v>
      </c>
      <c r="L181" s="28" t="s">
        <v>68</v>
      </c>
      <c r="M181" s="29">
        <f t="shared" si="2"/>
        <v>1.87</v>
      </c>
      <c r="N181" s="74">
        <v>0.2</v>
      </c>
      <c r="O181" s="74"/>
      <c r="P181" s="30">
        <v>3.5</v>
      </c>
      <c r="Q181" s="54">
        <v>0</v>
      </c>
      <c r="R181" s="30"/>
      <c r="S181" s="30"/>
      <c r="T181" s="55">
        <v>2.5</v>
      </c>
      <c r="U181" s="31"/>
      <c r="V181" s="31"/>
      <c r="W181" s="38">
        <f>Table132[[#This Row],[Suma lab]]+Table132[[#This Row],[Q1]]+Table132[[#This Row],[Q2]]+MAX(Table132[[#This Row],[Partial]:[re2p]])+MAX(Table132[[#This Row],[Final]:[re2f]])</f>
        <v>8.07</v>
      </c>
      <c r="X181" s="70">
        <f>IF(Table132[[#This Row],[Total]]&gt;=9.5, 10, ROUND(Table132[[#This Row],[Total]],0))</f>
        <v>8</v>
      </c>
      <c r="Y181" s="28"/>
      <c r="Z181" s="28"/>
      <c r="AA181" s="65"/>
    </row>
    <row r="182" spans="1:27" ht="15.75" customHeight="1">
      <c r="A182" s="26">
        <v>12</v>
      </c>
      <c r="B182" s="32">
        <v>180</v>
      </c>
      <c r="C182" s="40">
        <v>30227</v>
      </c>
      <c r="D182" s="73" t="s">
        <v>249</v>
      </c>
      <c r="E182" s="26" t="s">
        <v>26</v>
      </c>
      <c r="F182" s="27" t="s">
        <v>68</v>
      </c>
      <c r="G182" s="28">
        <v>0.4</v>
      </c>
      <c r="H182" s="28">
        <v>0.2</v>
      </c>
      <c r="I182" s="28">
        <v>0.25</v>
      </c>
      <c r="J182" s="28">
        <v>0.4</v>
      </c>
      <c r="K182" s="28">
        <v>0.1</v>
      </c>
      <c r="L182" s="28" t="s">
        <v>68</v>
      </c>
      <c r="M182" s="29">
        <f t="shared" si="2"/>
        <v>1.35</v>
      </c>
      <c r="N182" s="74">
        <v>0.2</v>
      </c>
      <c r="O182" s="74">
        <v>0.05</v>
      </c>
      <c r="P182" s="30">
        <v>1.6</v>
      </c>
      <c r="Q182" s="54">
        <v>1.55</v>
      </c>
      <c r="R182" s="30"/>
      <c r="S182" s="30"/>
      <c r="T182" s="55">
        <v>5</v>
      </c>
      <c r="U182" s="31"/>
      <c r="V182" s="31"/>
      <c r="W182" s="38">
        <f>Table132[[#This Row],[Suma lab]]+Table132[[#This Row],[Q1]]+Table132[[#This Row],[Q2]]+MAX(Table132[[#This Row],[Partial]:[re2p]])+MAX(Table132[[#This Row],[Final]:[re2f]])</f>
        <v>8.1999999999999993</v>
      </c>
      <c r="X182" s="70">
        <f>IF(Table132[[#This Row],[Total]]&gt;=9.5, 10, ROUND(Table132[[#This Row],[Total]],0))</f>
        <v>8</v>
      </c>
      <c r="Y182" s="28"/>
      <c r="Z182" s="28"/>
      <c r="AA182" s="65"/>
    </row>
    <row r="183" spans="1:27" ht="15.75" customHeight="1">
      <c r="A183" s="26">
        <v>13</v>
      </c>
      <c r="B183" s="32">
        <v>181</v>
      </c>
      <c r="C183" s="40">
        <v>30227</v>
      </c>
      <c r="D183" s="73" t="s">
        <v>250</v>
      </c>
      <c r="E183" s="26" t="s">
        <v>26</v>
      </c>
      <c r="F183" s="27" t="s">
        <v>68</v>
      </c>
      <c r="G183" s="28">
        <v>0.4</v>
      </c>
      <c r="H183" s="28" t="s">
        <v>77</v>
      </c>
      <c r="I183" s="28" t="s">
        <v>77</v>
      </c>
      <c r="J183" s="28">
        <v>0.1</v>
      </c>
      <c r="K183" s="28">
        <v>0.6</v>
      </c>
      <c r="L183" s="28" t="s">
        <v>68</v>
      </c>
      <c r="M183" s="29">
        <f t="shared" si="2"/>
        <v>1.1000000000000001</v>
      </c>
      <c r="N183" s="74">
        <v>0.15</v>
      </c>
      <c r="O183" s="74"/>
      <c r="P183" s="30"/>
      <c r="Q183" s="54">
        <v>2.0499999999999998</v>
      </c>
      <c r="R183" s="30"/>
      <c r="S183" s="30"/>
      <c r="T183" s="55">
        <v>0</v>
      </c>
      <c r="U183" s="31"/>
      <c r="V183" s="31"/>
      <c r="W183" s="38">
        <f>Table132[[#This Row],[Suma lab]]+Table132[[#This Row],[Q1]]+Table132[[#This Row],[Q2]]+MAX(Table132[[#This Row],[Partial]:[re2p]])+MAX(Table132[[#This Row],[Final]:[re2f]])</f>
        <v>3.3</v>
      </c>
      <c r="X183" s="70">
        <f>IF(Table132[[#This Row],[Total]]&gt;=9.5, 10, ROUND(Table132[[#This Row],[Total]],0))</f>
        <v>3</v>
      </c>
      <c r="Y183" s="28"/>
      <c r="Z183" s="28"/>
      <c r="AA183" s="65"/>
    </row>
    <row r="184" spans="1:27" ht="15.75" customHeight="1">
      <c r="A184" s="26">
        <v>14</v>
      </c>
      <c r="B184" s="32">
        <v>182</v>
      </c>
      <c r="C184" s="40">
        <v>30227</v>
      </c>
      <c r="D184" s="73" t="s">
        <v>251</v>
      </c>
      <c r="E184" s="26" t="s">
        <v>27</v>
      </c>
      <c r="F184" s="27" t="s">
        <v>68</v>
      </c>
      <c r="G184" s="28">
        <v>0.4</v>
      </c>
      <c r="H184" s="28">
        <v>0.6</v>
      </c>
      <c r="I184" s="28">
        <v>0.4</v>
      </c>
      <c r="J184" s="28">
        <v>0.22</v>
      </c>
      <c r="K184" s="28">
        <v>0.2</v>
      </c>
      <c r="L184" s="28" t="s">
        <v>68</v>
      </c>
      <c r="M184" s="29">
        <f t="shared" si="2"/>
        <v>1.8199999999999998</v>
      </c>
      <c r="N184" s="74"/>
      <c r="O184" s="74">
        <v>0.35</v>
      </c>
      <c r="P184" s="30">
        <v>2.85</v>
      </c>
      <c r="Q184" s="54"/>
      <c r="R184" s="30"/>
      <c r="S184" s="30"/>
      <c r="T184" s="55">
        <v>4.5999999999999996</v>
      </c>
      <c r="U184" s="31"/>
      <c r="V184" s="31"/>
      <c r="W184" s="38">
        <f>Table132[[#This Row],[Suma lab]]+Table132[[#This Row],[Q1]]+Table132[[#This Row],[Q2]]+MAX(Table132[[#This Row],[Partial]:[re2p]])+MAX(Table132[[#This Row],[Final]:[re2f]])</f>
        <v>9.6199999999999992</v>
      </c>
      <c r="X184" s="70">
        <f>IF(Table132[[#This Row],[Total]]&gt;=9.5, 10, ROUND(Table132[[#This Row],[Total]],0))</f>
        <v>10</v>
      </c>
      <c r="Y184" s="28"/>
      <c r="Z184" s="28"/>
      <c r="AA184" s="65"/>
    </row>
    <row r="185" spans="1:27" ht="15.75" customHeight="1">
      <c r="A185" s="26">
        <v>15</v>
      </c>
      <c r="B185" s="32">
        <v>183</v>
      </c>
      <c r="C185" s="40">
        <v>30227</v>
      </c>
      <c r="D185" s="73" t="s">
        <v>252</v>
      </c>
      <c r="E185" s="26" t="s">
        <v>27</v>
      </c>
      <c r="F185" s="27" t="s">
        <v>68</v>
      </c>
      <c r="G185" s="28">
        <v>0.4</v>
      </c>
      <c r="H185" s="28">
        <v>0.05</v>
      </c>
      <c r="I185" s="28">
        <v>0.45</v>
      </c>
      <c r="J185" s="28">
        <v>0.4</v>
      </c>
      <c r="K185" s="28">
        <v>0.3</v>
      </c>
      <c r="L185" s="28" t="s">
        <v>68</v>
      </c>
      <c r="M185" s="29">
        <f t="shared" si="2"/>
        <v>1.6</v>
      </c>
      <c r="N185" s="74">
        <v>0.2</v>
      </c>
      <c r="O185" s="74"/>
      <c r="P185" s="30">
        <v>2.2000000000000002</v>
      </c>
      <c r="Q185" s="54"/>
      <c r="R185" s="30"/>
      <c r="S185" s="30"/>
      <c r="T185" s="55">
        <v>3.5</v>
      </c>
      <c r="U185" s="31"/>
      <c r="V185" s="31"/>
      <c r="W185" s="38">
        <f>Table132[[#This Row],[Suma lab]]+Table132[[#This Row],[Q1]]+Table132[[#This Row],[Q2]]+MAX(Table132[[#This Row],[Partial]:[re2p]])+MAX(Table132[[#This Row],[Final]:[re2f]])</f>
        <v>7.5</v>
      </c>
      <c r="X185" s="70">
        <f>IF(Table132[[#This Row],[Total]]&gt;=9.5, 10, ROUND(Table132[[#This Row],[Total]],0))</f>
        <v>8</v>
      </c>
      <c r="Y185" s="28"/>
      <c r="Z185" s="28"/>
      <c r="AA185" s="65"/>
    </row>
    <row r="186" spans="1:27" ht="15.75" customHeight="1">
      <c r="A186" s="26">
        <v>16</v>
      </c>
      <c r="B186" s="32">
        <v>184</v>
      </c>
      <c r="C186" s="40">
        <v>30227</v>
      </c>
      <c r="D186" s="73" t="s">
        <v>253</v>
      </c>
      <c r="E186" s="26" t="s">
        <v>27</v>
      </c>
      <c r="F186" s="27" t="s">
        <v>68</v>
      </c>
      <c r="G186" s="28">
        <v>0.3</v>
      </c>
      <c r="H186" s="28">
        <v>0.6</v>
      </c>
      <c r="I186" s="28">
        <v>0.3</v>
      </c>
      <c r="J186" s="28">
        <v>0.2</v>
      </c>
      <c r="K186" s="28">
        <v>0</v>
      </c>
      <c r="L186" s="28" t="s">
        <v>68</v>
      </c>
      <c r="M186" s="29">
        <f t="shared" si="2"/>
        <v>1.4</v>
      </c>
      <c r="N186" s="74">
        <v>0.1</v>
      </c>
      <c r="O186" s="74"/>
      <c r="P186" s="30">
        <v>1.9</v>
      </c>
      <c r="Q186" s="54"/>
      <c r="R186" s="30"/>
      <c r="S186" s="30"/>
      <c r="T186" s="55">
        <v>3.35</v>
      </c>
      <c r="U186" s="31"/>
      <c r="V186" s="31"/>
      <c r="W186" s="38">
        <f>Table132[[#This Row],[Suma lab]]+Table132[[#This Row],[Q1]]+Table132[[#This Row],[Q2]]+MAX(Table132[[#This Row],[Partial]:[re2p]])+MAX(Table132[[#This Row],[Final]:[re2f]])</f>
        <v>6.75</v>
      </c>
      <c r="X186" s="70">
        <f>IF(Table132[[#This Row],[Total]]&gt;=9.5, 10, ROUND(Table132[[#This Row],[Total]],0))</f>
        <v>7</v>
      </c>
      <c r="Y186" s="28"/>
      <c r="Z186" s="28"/>
      <c r="AA186" s="65"/>
    </row>
    <row r="187" spans="1:27" ht="15.75" customHeight="1">
      <c r="A187" s="26">
        <v>17</v>
      </c>
      <c r="B187" s="32">
        <v>185</v>
      </c>
      <c r="C187" s="40">
        <v>30227</v>
      </c>
      <c r="D187" s="73" t="s">
        <v>254</v>
      </c>
      <c r="E187" s="26" t="s">
        <v>27</v>
      </c>
      <c r="F187" s="27" t="s">
        <v>68</v>
      </c>
      <c r="G187" s="28">
        <v>0.4</v>
      </c>
      <c r="H187" s="28">
        <v>0.3</v>
      </c>
      <c r="I187" s="28" t="s">
        <v>77</v>
      </c>
      <c r="J187" s="28">
        <v>0.32</v>
      </c>
      <c r="K187" s="28" t="s">
        <v>77</v>
      </c>
      <c r="L187" s="28" t="s">
        <v>68</v>
      </c>
      <c r="M187" s="29">
        <f t="shared" si="2"/>
        <v>1.02</v>
      </c>
      <c r="N187" s="74"/>
      <c r="O187" s="74">
        <v>0.3</v>
      </c>
      <c r="P187" s="30">
        <v>1.5</v>
      </c>
      <c r="Q187" s="54">
        <v>0.7</v>
      </c>
      <c r="R187" s="30"/>
      <c r="S187" s="30"/>
      <c r="T187" s="55">
        <v>2.65</v>
      </c>
      <c r="U187" s="31"/>
      <c r="V187" s="31"/>
      <c r="W187" s="38">
        <f>Table132[[#This Row],[Suma lab]]+Table132[[#This Row],[Q1]]+Table132[[#This Row],[Q2]]+MAX(Table132[[#This Row],[Partial]:[re2p]])+MAX(Table132[[#This Row],[Final]:[re2f]])</f>
        <v>5.4700000000000006</v>
      </c>
      <c r="X187" s="70">
        <f>IF(Table132[[#This Row],[Total]]&gt;=9.5, 10, ROUND(Table132[[#This Row],[Total]],0))</f>
        <v>5</v>
      </c>
      <c r="Y187" s="28"/>
      <c r="Z187" s="28"/>
      <c r="AA187" s="65"/>
    </row>
    <row r="188" spans="1:27" ht="15.75" customHeight="1">
      <c r="A188" s="26">
        <v>18</v>
      </c>
      <c r="B188" s="32">
        <v>186</v>
      </c>
      <c r="C188" s="40">
        <v>30227</v>
      </c>
      <c r="D188" s="73" t="s">
        <v>255</v>
      </c>
      <c r="E188" s="26" t="s">
        <v>27</v>
      </c>
      <c r="F188" s="27" t="s">
        <v>68</v>
      </c>
      <c r="G188" s="28">
        <v>0.45</v>
      </c>
      <c r="H188" s="28">
        <v>0.5</v>
      </c>
      <c r="I188" s="28">
        <v>0.6</v>
      </c>
      <c r="J188" s="28">
        <v>0.22</v>
      </c>
      <c r="K188" s="28" t="s">
        <v>77</v>
      </c>
      <c r="L188" s="28" t="s">
        <v>68</v>
      </c>
      <c r="M188" s="29">
        <f t="shared" si="2"/>
        <v>1.7699999999999998</v>
      </c>
      <c r="N188" s="74"/>
      <c r="O188" s="74"/>
      <c r="P188" s="30">
        <v>2.0499999999999998</v>
      </c>
      <c r="Q188" s="54"/>
      <c r="R188" s="30"/>
      <c r="S188" s="30"/>
      <c r="T188" s="55">
        <v>3.3</v>
      </c>
      <c r="U188" s="31"/>
      <c r="V188" s="31"/>
      <c r="W188" s="38">
        <f>Table132[[#This Row],[Suma lab]]+Table132[[#This Row],[Q1]]+Table132[[#This Row],[Q2]]+MAX(Table132[[#This Row],[Partial]:[re2p]])+MAX(Table132[[#This Row],[Final]:[re2f]])</f>
        <v>7.1199999999999992</v>
      </c>
      <c r="X188" s="70">
        <f>IF(Table132[[#This Row],[Total]]&gt;=9.5, 10, ROUND(Table132[[#This Row],[Total]],0))</f>
        <v>7</v>
      </c>
      <c r="Y188" s="28"/>
      <c r="Z188" s="28"/>
      <c r="AA188" s="65"/>
    </row>
    <row r="189" spans="1:27" ht="15.75" customHeight="1">
      <c r="A189" s="26">
        <v>19</v>
      </c>
      <c r="B189" s="32">
        <v>187</v>
      </c>
      <c r="C189" s="40">
        <v>30227</v>
      </c>
      <c r="D189" s="73" t="s">
        <v>256</v>
      </c>
      <c r="E189" s="26" t="s">
        <v>27</v>
      </c>
      <c r="F189" s="27" t="s">
        <v>68</v>
      </c>
      <c r="G189" s="28">
        <v>0.2</v>
      </c>
      <c r="H189" s="28">
        <v>0.45</v>
      </c>
      <c r="I189" s="28">
        <v>0.2</v>
      </c>
      <c r="J189" s="28" t="s">
        <v>77</v>
      </c>
      <c r="K189" s="28">
        <v>0.1</v>
      </c>
      <c r="L189" s="28" t="s">
        <v>68</v>
      </c>
      <c r="M189" s="29">
        <f t="shared" si="2"/>
        <v>0.95000000000000007</v>
      </c>
      <c r="N189" s="74">
        <v>0.3</v>
      </c>
      <c r="O189" s="74"/>
      <c r="P189" s="30">
        <v>1.8</v>
      </c>
      <c r="Q189" s="54">
        <v>0</v>
      </c>
      <c r="R189" s="30"/>
      <c r="S189" s="30"/>
      <c r="T189" s="55">
        <v>2.2000000000000002</v>
      </c>
      <c r="U189" s="31"/>
      <c r="V189" s="31"/>
      <c r="W189" s="38">
        <f>Table132[[#This Row],[Suma lab]]+Table132[[#This Row],[Q1]]+Table132[[#This Row],[Q2]]+MAX(Table132[[#This Row],[Partial]:[re2p]])+MAX(Table132[[#This Row],[Final]:[re2f]])</f>
        <v>5.25</v>
      </c>
      <c r="X189" s="70">
        <f>IF(Table132[[#This Row],[Total]]&gt;=9.5, 10, ROUND(Table132[[#This Row],[Total]],0))</f>
        <v>5</v>
      </c>
      <c r="Y189" s="28"/>
      <c r="Z189" s="28"/>
      <c r="AA189" s="65"/>
    </row>
    <row r="190" spans="1:27" ht="15.75" customHeight="1">
      <c r="A190" s="26">
        <v>20</v>
      </c>
      <c r="B190" s="32">
        <v>188</v>
      </c>
      <c r="C190" s="40">
        <v>30227</v>
      </c>
      <c r="D190" s="73" t="s">
        <v>257</v>
      </c>
      <c r="E190" s="26" t="s">
        <v>27</v>
      </c>
      <c r="F190" s="27" t="s">
        <v>68</v>
      </c>
      <c r="G190" s="28">
        <v>0.6</v>
      </c>
      <c r="H190" s="28">
        <v>0.6</v>
      </c>
      <c r="I190" s="28">
        <v>0.6</v>
      </c>
      <c r="J190" s="28">
        <v>0.5</v>
      </c>
      <c r="K190" s="28">
        <v>0.4</v>
      </c>
      <c r="L190" s="28" t="s">
        <v>68</v>
      </c>
      <c r="M190" s="29">
        <f t="shared" si="2"/>
        <v>2.6999999999999997</v>
      </c>
      <c r="N190" s="74">
        <v>0.5</v>
      </c>
      <c r="O190" s="74"/>
      <c r="P190" s="30">
        <v>2</v>
      </c>
      <c r="Q190" s="54"/>
      <c r="R190" s="30"/>
      <c r="S190" s="30"/>
      <c r="T190" s="55">
        <v>3</v>
      </c>
      <c r="U190" s="31"/>
      <c r="V190" s="31"/>
      <c r="W190" s="38">
        <f>Table132[[#This Row],[Suma lab]]+Table132[[#This Row],[Q1]]+Table132[[#This Row],[Q2]]+MAX(Table132[[#This Row],[Partial]:[re2p]])+MAX(Table132[[#This Row],[Final]:[re2f]])</f>
        <v>8.1999999999999993</v>
      </c>
      <c r="X190" s="70">
        <f>IF(Table132[[#This Row],[Total]]&gt;=9.5, 10, ROUND(Table132[[#This Row],[Total]],0))</f>
        <v>8</v>
      </c>
      <c r="Y190" s="28"/>
      <c r="Z190" s="28"/>
      <c r="AA190" s="65"/>
    </row>
    <row r="191" spans="1:27" ht="15.75" customHeight="1">
      <c r="A191" s="26">
        <v>21</v>
      </c>
      <c r="B191" s="32">
        <v>189</v>
      </c>
      <c r="C191" s="40">
        <v>30227</v>
      </c>
      <c r="D191" s="73" t="s">
        <v>258</v>
      </c>
      <c r="E191" s="26" t="s">
        <v>27</v>
      </c>
      <c r="F191" s="27" t="s">
        <v>68</v>
      </c>
      <c r="G191" s="28">
        <v>0.5</v>
      </c>
      <c r="H191" s="28">
        <v>0.4</v>
      </c>
      <c r="I191" s="28">
        <v>0.5</v>
      </c>
      <c r="J191" s="28">
        <v>0.4</v>
      </c>
      <c r="K191" s="28">
        <v>0.6</v>
      </c>
      <c r="L191" s="28" t="s">
        <v>68</v>
      </c>
      <c r="M191" s="29">
        <f t="shared" si="2"/>
        <v>2.4</v>
      </c>
      <c r="N191" s="74"/>
      <c r="O191" s="74"/>
      <c r="P191" s="30"/>
      <c r="Q191" s="54">
        <v>0.7</v>
      </c>
      <c r="R191" s="30"/>
      <c r="S191" s="30"/>
      <c r="T191" s="55">
        <v>0.95</v>
      </c>
      <c r="U191" s="31"/>
      <c r="V191" s="31"/>
      <c r="W191" s="38">
        <f>Table132[[#This Row],[Suma lab]]+Table132[[#This Row],[Q1]]+Table132[[#This Row],[Q2]]+MAX(Table132[[#This Row],[Partial]:[re2p]])+MAX(Table132[[#This Row],[Final]:[re2f]])</f>
        <v>4.05</v>
      </c>
      <c r="X191" s="70">
        <f>IF(Table132[[#This Row],[Total]]&gt;=9.5, 10, ROUND(Table132[[#This Row],[Total]],0))</f>
        <v>4</v>
      </c>
      <c r="Y191" s="28"/>
      <c r="Z191" s="28"/>
      <c r="AA191" s="65"/>
    </row>
    <row r="192" spans="1:27" ht="15.75" customHeight="1">
      <c r="A192" s="26">
        <v>22</v>
      </c>
      <c r="B192" s="32">
        <v>190</v>
      </c>
      <c r="C192" s="40">
        <v>30227</v>
      </c>
      <c r="D192" s="73" t="s">
        <v>259</v>
      </c>
      <c r="E192" s="26" t="s">
        <v>27</v>
      </c>
      <c r="F192" s="27" t="s">
        <v>68</v>
      </c>
      <c r="G192" s="28">
        <v>0.4</v>
      </c>
      <c r="H192" s="28">
        <v>0.6</v>
      </c>
      <c r="I192" s="28">
        <v>0.6</v>
      </c>
      <c r="J192" s="28">
        <v>0.4</v>
      </c>
      <c r="K192" s="28">
        <v>0.45</v>
      </c>
      <c r="L192" s="28" t="s">
        <v>68</v>
      </c>
      <c r="M192" s="29">
        <f t="shared" si="2"/>
        <v>2.4500000000000002</v>
      </c>
      <c r="N192" s="74">
        <v>0.15</v>
      </c>
      <c r="O192" s="74"/>
      <c r="P192" s="30">
        <v>2.8</v>
      </c>
      <c r="Q192" s="54">
        <v>2.2999999999999998</v>
      </c>
      <c r="R192" s="30"/>
      <c r="S192" s="30"/>
      <c r="T192" s="55">
        <v>3.4</v>
      </c>
      <c r="U192" s="31"/>
      <c r="V192" s="31"/>
      <c r="W192" s="38">
        <f>Table132[[#This Row],[Suma lab]]+Table132[[#This Row],[Q1]]+Table132[[#This Row],[Q2]]+MAX(Table132[[#This Row],[Partial]:[re2p]])+MAX(Table132[[#This Row],[Final]:[re2f]])</f>
        <v>8.8000000000000007</v>
      </c>
      <c r="X192" s="70">
        <f>IF(Table132[[#This Row],[Total]]&gt;=9.5, 10, ROUND(Table132[[#This Row],[Total]],0))</f>
        <v>9</v>
      </c>
      <c r="Y192" s="28"/>
      <c r="Z192" s="28"/>
      <c r="AA192" s="65"/>
    </row>
    <row r="193" spans="1:27" ht="15.75" customHeight="1">
      <c r="A193" s="26">
        <v>23</v>
      </c>
      <c r="B193" s="32">
        <v>191</v>
      </c>
      <c r="C193" s="40">
        <v>30227</v>
      </c>
      <c r="D193" s="73" t="s">
        <v>260</v>
      </c>
      <c r="E193" s="26" t="s">
        <v>27</v>
      </c>
      <c r="F193" s="33" t="s">
        <v>68</v>
      </c>
      <c r="G193" s="34">
        <v>0.5</v>
      </c>
      <c r="H193" s="34">
        <v>0.25</v>
      </c>
      <c r="I193" s="34">
        <v>0.3</v>
      </c>
      <c r="J193" s="34">
        <v>0.2</v>
      </c>
      <c r="K193" s="34">
        <v>0.5</v>
      </c>
      <c r="L193" s="34" t="s">
        <v>68</v>
      </c>
      <c r="M193" s="35">
        <f t="shared" si="2"/>
        <v>1.75</v>
      </c>
      <c r="N193" s="75">
        <v>0.5</v>
      </c>
      <c r="O193" s="75"/>
      <c r="P193" s="36">
        <v>1.8</v>
      </c>
      <c r="Q193" s="58"/>
      <c r="R193" s="36"/>
      <c r="S193" s="36"/>
      <c r="T193" s="59">
        <v>1.1000000000000001</v>
      </c>
      <c r="U193" s="37"/>
      <c r="V193" s="37"/>
      <c r="W193" s="38">
        <f>Table132[[#This Row],[Suma lab]]+Table132[[#This Row],[Q1]]+Table132[[#This Row],[Q2]]+MAX(Table132[[#This Row],[Partial]:[re2p]])+MAX(Table132[[#This Row],[Final]:[re2f]])</f>
        <v>5.15</v>
      </c>
      <c r="X193" s="70">
        <f>IF(Table132[[#This Row],[Total]]&gt;=9.5, 10, ROUND(Table132[[#This Row],[Total]],0))</f>
        <v>5</v>
      </c>
      <c r="Y193" s="34"/>
      <c r="Z193" s="34"/>
      <c r="AA193" s="66"/>
    </row>
    <row r="194" spans="1:27" ht="15.75" customHeight="1">
      <c r="A194" s="26">
        <v>24</v>
      </c>
      <c r="B194" s="32">
        <v>192</v>
      </c>
      <c r="C194" s="40">
        <v>30227</v>
      </c>
      <c r="D194" s="73" t="s">
        <v>261</v>
      </c>
      <c r="E194" s="26" t="s">
        <v>27</v>
      </c>
      <c r="F194" s="27" t="s">
        <v>68</v>
      </c>
      <c r="G194" s="28">
        <v>0.4</v>
      </c>
      <c r="H194" s="28">
        <v>0.05</v>
      </c>
      <c r="I194" s="28">
        <v>0.35</v>
      </c>
      <c r="J194" s="28" t="s">
        <v>77</v>
      </c>
      <c r="K194" s="28">
        <v>0.55000000000000004</v>
      </c>
      <c r="L194" s="28" t="s">
        <v>68</v>
      </c>
      <c r="M194" s="29">
        <f t="shared" si="2"/>
        <v>1.35</v>
      </c>
      <c r="N194" s="74">
        <v>0.5</v>
      </c>
      <c r="O194" s="74"/>
      <c r="P194" s="30">
        <v>1.1000000000000001</v>
      </c>
      <c r="Q194" s="54"/>
      <c r="R194" s="30"/>
      <c r="S194" s="30"/>
      <c r="T194" s="55">
        <v>2.4</v>
      </c>
      <c r="U194" s="31"/>
      <c r="V194" s="31"/>
      <c r="W194" s="38">
        <f>Table132[[#This Row],[Suma lab]]+Table132[[#This Row],[Q1]]+Table132[[#This Row],[Q2]]+MAX(Table132[[#This Row],[Partial]:[re2p]])+MAX(Table132[[#This Row],[Final]:[re2f]])</f>
        <v>5.35</v>
      </c>
      <c r="X194" s="70">
        <f>IF(Table132[[#This Row],[Total]]&gt;=9.5, 10, ROUND(Table132[[#This Row],[Total]],0))</f>
        <v>5</v>
      </c>
      <c r="Y194" s="28"/>
      <c r="Z194" s="28"/>
      <c r="AA194" s="65"/>
    </row>
    <row r="195" spans="1:27" ht="15.75" customHeight="1">
      <c r="A195" s="26">
        <v>25</v>
      </c>
      <c r="B195" s="32">
        <v>193</v>
      </c>
      <c r="C195" s="40">
        <v>30227</v>
      </c>
      <c r="D195" s="73" t="s">
        <v>262</v>
      </c>
      <c r="E195" s="26" t="s">
        <v>27</v>
      </c>
      <c r="F195" s="27" t="s">
        <v>68</v>
      </c>
      <c r="G195" s="28">
        <v>0.6</v>
      </c>
      <c r="H195" s="28">
        <v>0.45</v>
      </c>
      <c r="I195" s="28">
        <v>0.3</v>
      </c>
      <c r="J195" s="28" t="s">
        <v>77</v>
      </c>
      <c r="K195" s="28">
        <v>0</v>
      </c>
      <c r="L195" s="28" t="s">
        <v>68</v>
      </c>
      <c r="M195" s="29">
        <f t="shared" ref="M195:M258" si="3">SUM(G195:K195)</f>
        <v>1.35</v>
      </c>
      <c r="N195" s="74">
        <v>0.5</v>
      </c>
      <c r="O195" s="74">
        <v>0.35</v>
      </c>
      <c r="P195" s="30"/>
      <c r="Q195" s="54">
        <v>2.15</v>
      </c>
      <c r="R195" s="30"/>
      <c r="S195" s="30"/>
      <c r="T195" s="55">
        <v>3.7</v>
      </c>
      <c r="U195" s="31"/>
      <c r="V195" s="31"/>
      <c r="W195" s="38">
        <f>Table132[[#This Row],[Suma lab]]+Table132[[#This Row],[Q1]]+Table132[[#This Row],[Q2]]+MAX(Table132[[#This Row],[Partial]:[re2p]])+MAX(Table132[[#This Row],[Final]:[re2f]])</f>
        <v>8.0500000000000007</v>
      </c>
      <c r="X195" s="70">
        <f>IF(Table132[[#This Row],[Total]]&gt;=9.5, 10, ROUND(Table132[[#This Row],[Total]],0))</f>
        <v>8</v>
      </c>
      <c r="Y195" s="28"/>
      <c r="Z195" s="28"/>
      <c r="AA195" s="65"/>
    </row>
    <row r="196" spans="1:27" ht="15.75" customHeight="1">
      <c r="A196" s="26">
        <v>26</v>
      </c>
      <c r="B196" s="32">
        <v>194</v>
      </c>
      <c r="C196" s="40">
        <v>30227</v>
      </c>
      <c r="D196" s="73" t="s">
        <v>263</v>
      </c>
      <c r="E196" s="26" t="s">
        <v>27</v>
      </c>
      <c r="F196" s="27" t="s">
        <v>68</v>
      </c>
      <c r="G196" s="28">
        <v>0.6</v>
      </c>
      <c r="H196" s="28">
        <v>0.4</v>
      </c>
      <c r="I196" s="28">
        <v>0.35</v>
      </c>
      <c r="J196" s="28">
        <v>0.42</v>
      </c>
      <c r="K196" s="28">
        <v>0</v>
      </c>
      <c r="L196" s="28" t="s">
        <v>68</v>
      </c>
      <c r="M196" s="29">
        <f t="shared" si="3"/>
        <v>1.77</v>
      </c>
      <c r="N196" s="74"/>
      <c r="O196" s="74"/>
      <c r="P196" s="30">
        <v>0.75</v>
      </c>
      <c r="Q196" s="54">
        <v>2.1</v>
      </c>
      <c r="R196" s="30"/>
      <c r="S196" s="30"/>
      <c r="T196" s="55">
        <v>3</v>
      </c>
      <c r="U196" s="31"/>
      <c r="V196" s="31"/>
      <c r="W196" s="38">
        <f>Table132[[#This Row],[Suma lab]]+Table132[[#This Row],[Q1]]+Table132[[#This Row],[Q2]]+MAX(Table132[[#This Row],[Partial]:[re2p]])+MAX(Table132[[#This Row],[Final]:[re2f]])</f>
        <v>6.87</v>
      </c>
      <c r="X196" s="70">
        <f>IF(Table132[[#This Row],[Total]]&gt;=9.5, 10, ROUND(Table132[[#This Row],[Total]],0))</f>
        <v>7</v>
      </c>
      <c r="Y196" s="28"/>
      <c r="Z196" s="28"/>
      <c r="AA196" s="65"/>
    </row>
    <row r="197" spans="1:27" ht="15.75" customHeight="1">
      <c r="A197" s="26">
        <v>27</v>
      </c>
      <c r="B197" s="32">
        <v>195</v>
      </c>
      <c r="C197" s="40">
        <v>30227</v>
      </c>
      <c r="D197" s="73" t="s">
        <v>264</v>
      </c>
      <c r="E197" s="26" t="s">
        <v>27</v>
      </c>
      <c r="F197" s="27" t="s">
        <v>68</v>
      </c>
      <c r="G197" s="28">
        <v>0.4</v>
      </c>
      <c r="H197" s="28">
        <v>0.5</v>
      </c>
      <c r="I197" s="28">
        <v>0.2</v>
      </c>
      <c r="J197" s="28">
        <v>0.2</v>
      </c>
      <c r="K197" s="28">
        <v>0</v>
      </c>
      <c r="L197" s="28" t="s">
        <v>68</v>
      </c>
      <c r="M197" s="29">
        <f t="shared" si="3"/>
        <v>1.3</v>
      </c>
      <c r="N197" s="74"/>
      <c r="O197" s="74"/>
      <c r="P197" s="30">
        <v>2.75</v>
      </c>
      <c r="Q197" s="54">
        <v>0</v>
      </c>
      <c r="R197" s="30"/>
      <c r="S197" s="30"/>
      <c r="T197" s="55">
        <v>5.6</v>
      </c>
      <c r="U197" s="31"/>
      <c r="V197" s="31"/>
      <c r="W197" s="38">
        <f>Table132[[#This Row],[Suma lab]]+Table132[[#This Row],[Q1]]+Table132[[#This Row],[Q2]]+MAX(Table132[[#This Row],[Partial]:[re2p]])+MAX(Table132[[#This Row],[Final]:[re2f]])</f>
        <v>9.6499999999999986</v>
      </c>
      <c r="X197" s="70">
        <f>IF(Table132[[#This Row],[Total]]&gt;=9.5, 10, ROUND(Table132[[#This Row],[Total]],0))</f>
        <v>10</v>
      </c>
      <c r="Y197" s="28"/>
      <c r="Z197" s="28"/>
      <c r="AA197" s="65"/>
    </row>
    <row r="198" spans="1:27" ht="15.75" customHeight="1">
      <c r="A198" s="26">
        <v>1</v>
      </c>
      <c r="B198" s="32">
        <v>196</v>
      </c>
      <c r="C198" s="45">
        <v>30228</v>
      </c>
      <c r="D198" s="73" t="s">
        <v>265</v>
      </c>
      <c r="E198" s="26" t="s">
        <v>28</v>
      </c>
      <c r="F198" s="27" t="s">
        <v>68</v>
      </c>
      <c r="G198" s="28">
        <v>0.6</v>
      </c>
      <c r="H198" s="28">
        <v>0.55000000000000004</v>
      </c>
      <c r="I198" s="28">
        <v>0.3</v>
      </c>
      <c r="J198" s="28">
        <v>0.57999999999999996</v>
      </c>
      <c r="K198" s="28">
        <v>0.4</v>
      </c>
      <c r="L198" s="28" t="s">
        <v>68</v>
      </c>
      <c r="M198" s="29">
        <f t="shared" si="3"/>
        <v>2.4299999999999997</v>
      </c>
      <c r="N198" s="74">
        <v>0.25</v>
      </c>
      <c r="O198" s="74"/>
      <c r="P198" s="30">
        <v>2.2000000000000002</v>
      </c>
      <c r="Q198" s="54">
        <v>1.95</v>
      </c>
      <c r="R198" s="30"/>
      <c r="S198" s="30"/>
      <c r="T198" s="55">
        <v>2.4500000000000002</v>
      </c>
      <c r="U198" s="31"/>
      <c r="V198" s="31"/>
      <c r="W198" s="38">
        <f>Table132[[#This Row],[Suma lab]]+Table132[[#This Row],[Q1]]+Table132[[#This Row],[Q2]]+MAX(Table132[[#This Row],[Partial]:[re2p]])+MAX(Table132[[#This Row],[Final]:[re2f]])</f>
        <v>7.33</v>
      </c>
      <c r="X198" s="70">
        <f>IF(Table132[[#This Row],[Total]]&gt;=9.5, 10, ROUND(Table132[[#This Row],[Total]],0))</f>
        <v>7</v>
      </c>
      <c r="Y198" s="28"/>
      <c r="Z198" s="28"/>
      <c r="AA198" s="71"/>
    </row>
    <row r="199" spans="1:27" ht="15.75" customHeight="1">
      <c r="A199" s="26">
        <v>2</v>
      </c>
      <c r="B199" s="32">
        <v>197</v>
      </c>
      <c r="C199" s="45">
        <v>30228</v>
      </c>
      <c r="D199" s="73" t="s">
        <v>266</v>
      </c>
      <c r="E199" s="26"/>
      <c r="F199" s="27" t="s">
        <v>68</v>
      </c>
      <c r="G199" s="28">
        <v>0.6</v>
      </c>
      <c r="H199" s="28">
        <v>0.6</v>
      </c>
      <c r="I199" s="28">
        <v>0.25</v>
      </c>
      <c r="J199" s="28">
        <v>0.25</v>
      </c>
      <c r="K199" s="28">
        <v>0.2</v>
      </c>
      <c r="L199" s="28" t="s">
        <v>68</v>
      </c>
      <c r="M199" s="29">
        <f t="shared" si="3"/>
        <v>1.9</v>
      </c>
      <c r="N199" s="74">
        <v>0.15</v>
      </c>
      <c r="O199" s="74"/>
      <c r="P199" s="30">
        <v>2.8</v>
      </c>
      <c r="Q199" s="54"/>
      <c r="R199" s="30"/>
      <c r="S199" s="30"/>
      <c r="T199" s="55">
        <v>3.65</v>
      </c>
      <c r="U199" s="31"/>
      <c r="V199" s="31"/>
      <c r="W199" s="38">
        <f>Table132[[#This Row],[Suma lab]]+Table132[[#This Row],[Q1]]+Table132[[#This Row],[Q2]]+MAX(Table132[[#This Row],[Partial]:[re2p]])+MAX(Table132[[#This Row],[Final]:[re2f]])</f>
        <v>8.5</v>
      </c>
      <c r="X199" s="70">
        <f>IF(Table132[[#This Row],[Total]]&gt;=9.5, 10, ROUND(Table132[[#This Row],[Total]],0))</f>
        <v>9</v>
      </c>
      <c r="Y199" s="28"/>
      <c r="Z199" s="28"/>
      <c r="AA199" s="65"/>
    </row>
    <row r="200" spans="1:27" ht="15.75" customHeight="1">
      <c r="A200" s="26">
        <v>3</v>
      </c>
      <c r="B200" s="32">
        <v>198</v>
      </c>
      <c r="C200" s="45">
        <v>30228</v>
      </c>
      <c r="D200" s="73" t="s">
        <v>267</v>
      </c>
      <c r="E200" s="26"/>
      <c r="F200" s="27" t="s">
        <v>68</v>
      </c>
      <c r="G200" s="28">
        <v>0.5</v>
      </c>
      <c r="H200" s="28">
        <v>0.6</v>
      </c>
      <c r="I200" s="28">
        <v>0.1</v>
      </c>
      <c r="J200" s="28">
        <v>0.05</v>
      </c>
      <c r="K200" s="28">
        <v>0.2</v>
      </c>
      <c r="L200" s="28" t="s">
        <v>68</v>
      </c>
      <c r="M200" s="29">
        <f t="shared" si="3"/>
        <v>1.4500000000000002</v>
      </c>
      <c r="N200" s="74">
        <v>0.1</v>
      </c>
      <c r="O200" s="74"/>
      <c r="P200" s="30">
        <v>1.1499999999999999</v>
      </c>
      <c r="Q200" s="54">
        <v>0</v>
      </c>
      <c r="R200" s="30"/>
      <c r="S200" s="30"/>
      <c r="T200" s="55">
        <v>3.4</v>
      </c>
      <c r="U200" s="31"/>
      <c r="V200" s="31"/>
      <c r="W200" s="38">
        <f>Table132[[#This Row],[Suma lab]]+Table132[[#This Row],[Q1]]+Table132[[#This Row],[Q2]]+MAX(Table132[[#This Row],[Partial]:[re2p]])+MAX(Table132[[#This Row],[Final]:[re2f]])</f>
        <v>6.1</v>
      </c>
      <c r="X200" s="70">
        <f>IF(Table132[[#This Row],[Total]]&gt;=9.5, 10, ROUND(Table132[[#This Row],[Total]],0))</f>
        <v>6</v>
      </c>
      <c r="Y200" s="28"/>
      <c r="Z200" s="28"/>
      <c r="AA200" s="65"/>
    </row>
    <row r="201" spans="1:27" ht="15.75" customHeight="1">
      <c r="A201" s="26">
        <v>4</v>
      </c>
      <c r="B201" s="32">
        <v>199</v>
      </c>
      <c r="C201" s="45">
        <v>30228</v>
      </c>
      <c r="D201" s="73" t="s">
        <v>268</v>
      </c>
      <c r="E201" s="26"/>
      <c r="F201" s="27" t="s">
        <v>68</v>
      </c>
      <c r="G201" s="28">
        <v>0.2</v>
      </c>
      <c r="H201" s="28">
        <v>0.55000000000000004</v>
      </c>
      <c r="I201" s="28">
        <v>0.3</v>
      </c>
      <c r="J201" s="28">
        <v>0.15</v>
      </c>
      <c r="K201" s="28">
        <v>0</v>
      </c>
      <c r="L201" s="28" t="s">
        <v>68</v>
      </c>
      <c r="M201" s="29">
        <f t="shared" si="3"/>
        <v>1.2</v>
      </c>
      <c r="N201" s="74">
        <v>0.5</v>
      </c>
      <c r="O201" s="74"/>
      <c r="P201" s="30"/>
      <c r="Q201" s="54">
        <v>2.2999999999999998</v>
      </c>
      <c r="R201" s="30"/>
      <c r="S201" s="30"/>
      <c r="T201" s="55">
        <v>1.6</v>
      </c>
      <c r="U201" s="31"/>
      <c r="V201" s="31"/>
      <c r="W201" s="38">
        <f>Table132[[#This Row],[Suma lab]]+Table132[[#This Row],[Q1]]+Table132[[#This Row],[Q2]]+MAX(Table132[[#This Row],[Partial]:[re2p]])+MAX(Table132[[#This Row],[Final]:[re2f]])</f>
        <v>5.6</v>
      </c>
      <c r="X201" s="70">
        <f>IF(Table132[[#This Row],[Total]]&gt;=9.5, 10, ROUND(Table132[[#This Row],[Total]],0))</f>
        <v>6</v>
      </c>
      <c r="Y201" s="28"/>
      <c r="Z201" s="28"/>
      <c r="AA201" s="65"/>
    </row>
    <row r="202" spans="1:27" ht="15.75" customHeight="1">
      <c r="A202" s="26">
        <v>5</v>
      </c>
      <c r="B202" s="32">
        <v>200</v>
      </c>
      <c r="C202" s="45">
        <v>30228</v>
      </c>
      <c r="D202" s="73" t="s">
        <v>269</v>
      </c>
      <c r="E202" s="26"/>
      <c r="F202" s="27" t="s">
        <v>68</v>
      </c>
      <c r="G202" s="28">
        <v>0.45</v>
      </c>
      <c r="H202" s="28">
        <v>0.3</v>
      </c>
      <c r="I202" s="28">
        <v>0.2</v>
      </c>
      <c r="J202" s="28">
        <v>0.4</v>
      </c>
      <c r="K202" s="28">
        <v>0</v>
      </c>
      <c r="L202" s="28" t="s">
        <v>68</v>
      </c>
      <c r="M202" s="29">
        <f t="shared" si="3"/>
        <v>1.35</v>
      </c>
      <c r="N202" s="74">
        <v>0.5</v>
      </c>
      <c r="O202" s="74"/>
      <c r="P202" s="30"/>
      <c r="Q202" s="54">
        <v>0.6</v>
      </c>
      <c r="R202" s="30"/>
      <c r="S202" s="30"/>
      <c r="T202" s="55">
        <v>0.4</v>
      </c>
      <c r="U202" s="31"/>
      <c r="V202" s="31"/>
      <c r="W202" s="38">
        <f>Table132[[#This Row],[Suma lab]]+Table132[[#This Row],[Q1]]+Table132[[#This Row],[Q2]]+MAX(Table132[[#This Row],[Partial]:[re2p]])+MAX(Table132[[#This Row],[Final]:[re2f]])</f>
        <v>2.85</v>
      </c>
      <c r="X202" s="70">
        <f>IF(Table132[[#This Row],[Total]]&gt;=9.5, 10, ROUND(Table132[[#This Row],[Total]],0))</f>
        <v>3</v>
      </c>
      <c r="Y202" s="28"/>
      <c r="Z202" s="28"/>
      <c r="AA202" s="65"/>
    </row>
    <row r="203" spans="1:27" ht="15.75" customHeight="1">
      <c r="A203" s="26">
        <v>6</v>
      </c>
      <c r="B203" s="32">
        <v>201</v>
      </c>
      <c r="C203" s="45">
        <v>30228</v>
      </c>
      <c r="D203" s="73" t="s">
        <v>270</v>
      </c>
      <c r="E203" s="26"/>
      <c r="F203" s="27" t="s">
        <v>68</v>
      </c>
      <c r="G203" s="28">
        <v>0.6</v>
      </c>
      <c r="H203" s="28">
        <v>0.4</v>
      </c>
      <c r="I203" s="28">
        <v>0.2</v>
      </c>
      <c r="J203" s="28">
        <v>0.3</v>
      </c>
      <c r="K203" s="28">
        <v>0.4</v>
      </c>
      <c r="L203" s="28" t="s">
        <v>68</v>
      </c>
      <c r="M203" s="29">
        <f t="shared" si="3"/>
        <v>1.9</v>
      </c>
      <c r="N203" s="74"/>
      <c r="O203" s="74"/>
      <c r="P203" s="30">
        <v>1.9</v>
      </c>
      <c r="Q203" s="54">
        <v>0</v>
      </c>
      <c r="R203" s="30"/>
      <c r="S203" s="30"/>
      <c r="T203" s="55">
        <v>1.85</v>
      </c>
      <c r="U203" s="31"/>
      <c r="V203" s="31"/>
      <c r="W203" s="38">
        <f>Table132[[#This Row],[Suma lab]]+Table132[[#This Row],[Q1]]+Table132[[#This Row],[Q2]]+MAX(Table132[[#This Row],[Partial]:[re2p]])+MAX(Table132[[#This Row],[Final]:[re2f]])</f>
        <v>5.65</v>
      </c>
      <c r="X203" s="70">
        <f>IF(Table132[[#This Row],[Total]]&gt;=9.5, 10, ROUND(Table132[[#This Row],[Total]],0))</f>
        <v>6</v>
      </c>
      <c r="Y203" s="28"/>
      <c r="Z203" s="28"/>
      <c r="AA203" s="65"/>
    </row>
    <row r="204" spans="1:27" ht="15.75" customHeight="1">
      <c r="A204" s="26">
        <v>7</v>
      </c>
      <c r="B204" s="32">
        <v>202</v>
      </c>
      <c r="C204" s="45">
        <v>30228</v>
      </c>
      <c r="D204" s="73" t="s">
        <v>271</v>
      </c>
      <c r="E204" s="26"/>
      <c r="F204" s="27" t="s">
        <v>68</v>
      </c>
      <c r="G204" s="28" t="s">
        <v>77</v>
      </c>
      <c r="H204" s="28">
        <v>0.15</v>
      </c>
      <c r="I204" s="28">
        <v>0.32</v>
      </c>
      <c r="J204" s="28">
        <v>0.3</v>
      </c>
      <c r="K204" s="28">
        <v>0.45</v>
      </c>
      <c r="L204" s="28" t="s">
        <v>68</v>
      </c>
      <c r="M204" s="29">
        <f t="shared" si="3"/>
        <v>1.22</v>
      </c>
      <c r="N204" s="74">
        <v>0.4</v>
      </c>
      <c r="O204" s="74">
        <v>0.4</v>
      </c>
      <c r="P204" s="30">
        <v>1.6</v>
      </c>
      <c r="Q204" s="54">
        <v>3.15</v>
      </c>
      <c r="R204" s="30"/>
      <c r="S204" s="30"/>
      <c r="T204" s="55">
        <v>4.8</v>
      </c>
      <c r="U204" s="31"/>
      <c r="V204" s="31"/>
      <c r="W204" s="38">
        <f>Table132[[#This Row],[Suma lab]]+Table132[[#This Row],[Q1]]+Table132[[#This Row],[Q2]]+MAX(Table132[[#This Row],[Partial]:[re2p]])+MAX(Table132[[#This Row],[Final]:[re2f]])</f>
        <v>9.9699999999999989</v>
      </c>
      <c r="X204" s="70">
        <f>IF(Table132[[#This Row],[Total]]&gt;=9.5, 10, ROUND(Table132[[#This Row],[Total]],0))</f>
        <v>10</v>
      </c>
      <c r="Y204" s="28"/>
      <c r="Z204" s="28"/>
      <c r="AA204" s="65"/>
    </row>
    <row r="205" spans="1:27" ht="15.75" customHeight="1">
      <c r="A205" s="26">
        <v>8</v>
      </c>
      <c r="B205" s="32">
        <v>203</v>
      </c>
      <c r="C205" s="45">
        <v>30228</v>
      </c>
      <c r="D205" s="73" t="s">
        <v>272</v>
      </c>
      <c r="E205" s="26"/>
      <c r="F205" s="27" t="s">
        <v>68</v>
      </c>
      <c r="G205" s="28">
        <v>0.4</v>
      </c>
      <c r="H205" s="28">
        <v>0.6</v>
      </c>
      <c r="I205" s="28">
        <v>0.2</v>
      </c>
      <c r="J205" s="28">
        <v>0.05</v>
      </c>
      <c r="K205" s="28">
        <v>0</v>
      </c>
      <c r="L205" s="28" t="s">
        <v>68</v>
      </c>
      <c r="M205" s="29">
        <f t="shared" si="3"/>
        <v>1.25</v>
      </c>
      <c r="N205" s="74"/>
      <c r="O205" s="74"/>
      <c r="P205" s="30">
        <v>0.5</v>
      </c>
      <c r="Q205" s="54">
        <v>1.5</v>
      </c>
      <c r="R205" s="30"/>
      <c r="S205" s="30"/>
      <c r="T205" s="55">
        <v>0.7</v>
      </c>
      <c r="U205" s="31"/>
      <c r="V205" s="31"/>
      <c r="W205" s="38">
        <f>Table132[[#This Row],[Suma lab]]+Table132[[#This Row],[Q1]]+Table132[[#This Row],[Q2]]+MAX(Table132[[#This Row],[Partial]:[re2p]])+MAX(Table132[[#This Row],[Final]:[re2f]])</f>
        <v>3.45</v>
      </c>
      <c r="X205" s="70">
        <f>IF(Table132[[#This Row],[Total]]&gt;=9.5, 10, ROUND(Table132[[#This Row],[Total]],0))</f>
        <v>3</v>
      </c>
      <c r="Y205" s="28"/>
      <c r="Z205" s="28"/>
      <c r="AA205" s="65"/>
    </row>
    <row r="206" spans="1:27" ht="15.75" customHeight="1">
      <c r="A206" s="26">
        <v>9</v>
      </c>
      <c r="B206" s="32">
        <v>204</v>
      </c>
      <c r="C206" s="45">
        <v>30228</v>
      </c>
      <c r="D206" s="73" t="s">
        <v>273</v>
      </c>
      <c r="E206" s="26"/>
      <c r="F206" s="27" t="s">
        <v>68</v>
      </c>
      <c r="G206" s="28">
        <v>0.5</v>
      </c>
      <c r="H206" s="28">
        <v>0.6</v>
      </c>
      <c r="I206" s="28">
        <v>0.35</v>
      </c>
      <c r="J206" s="28">
        <v>0.55000000000000004</v>
      </c>
      <c r="K206" s="28">
        <v>0.28000000000000003</v>
      </c>
      <c r="L206" s="28" t="s">
        <v>68</v>
      </c>
      <c r="M206" s="29">
        <f t="shared" si="3"/>
        <v>2.2800000000000002</v>
      </c>
      <c r="N206" s="74">
        <v>0.1</v>
      </c>
      <c r="O206" s="74"/>
      <c r="P206" s="30">
        <v>2.5</v>
      </c>
      <c r="Q206" s="54"/>
      <c r="R206" s="30"/>
      <c r="S206" s="30"/>
      <c r="T206" s="55">
        <v>5.75</v>
      </c>
      <c r="U206" s="31"/>
      <c r="V206" s="31"/>
      <c r="W206" s="38">
        <f>Table132[[#This Row],[Suma lab]]+Table132[[#This Row],[Q1]]+Table132[[#This Row],[Q2]]+MAX(Table132[[#This Row],[Partial]:[re2p]])+MAX(Table132[[#This Row],[Final]:[re2f]])</f>
        <v>10.63</v>
      </c>
      <c r="X206" s="70">
        <f>IF(Table132[[#This Row],[Total]]&gt;=9.5, 10, ROUND(Table132[[#This Row],[Total]],0))</f>
        <v>10</v>
      </c>
      <c r="Y206" s="28"/>
      <c r="Z206" s="28"/>
      <c r="AA206" s="65"/>
    </row>
    <row r="207" spans="1:27" ht="15.75" customHeight="1">
      <c r="A207" s="26">
        <v>10</v>
      </c>
      <c r="B207" s="32">
        <v>205</v>
      </c>
      <c r="C207" s="45">
        <v>30228</v>
      </c>
      <c r="D207" s="73" t="s">
        <v>274</v>
      </c>
      <c r="E207" s="26"/>
      <c r="F207" s="27" t="s">
        <v>68</v>
      </c>
      <c r="G207" s="28">
        <v>0.6</v>
      </c>
      <c r="H207" s="28">
        <v>0.2</v>
      </c>
      <c r="I207" s="28">
        <v>0.2</v>
      </c>
      <c r="J207" s="28">
        <v>0.05</v>
      </c>
      <c r="K207" s="28">
        <v>0</v>
      </c>
      <c r="L207" s="28" t="s">
        <v>68</v>
      </c>
      <c r="M207" s="29">
        <f t="shared" si="3"/>
        <v>1.05</v>
      </c>
      <c r="N207" s="74"/>
      <c r="O207" s="74"/>
      <c r="P207" s="30">
        <v>0.5</v>
      </c>
      <c r="Q207" s="54">
        <v>1</v>
      </c>
      <c r="R207" s="30"/>
      <c r="S207" s="30"/>
      <c r="T207" s="55">
        <v>1.4</v>
      </c>
      <c r="U207" s="31"/>
      <c r="V207" s="31"/>
      <c r="W207" s="38">
        <f>Table132[[#This Row],[Suma lab]]+Table132[[#This Row],[Q1]]+Table132[[#This Row],[Q2]]+MAX(Table132[[#This Row],[Partial]:[re2p]])+MAX(Table132[[#This Row],[Final]:[re2f]])</f>
        <v>3.4499999999999997</v>
      </c>
      <c r="X207" s="70">
        <f>IF(Table132[[#This Row],[Total]]&gt;=9.5, 10, ROUND(Table132[[#This Row],[Total]],0))</f>
        <v>3</v>
      </c>
      <c r="Y207" s="28"/>
      <c r="Z207" s="28"/>
      <c r="AA207" s="65"/>
    </row>
    <row r="208" spans="1:27" ht="15.75" customHeight="1">
      <c r="A208" s="26">
        <v>11</v>
      </c>
      <c r="B208" s="32">
        <v>206</v>
      </c>
      <c r="C208" s="45">
        <v>30228</v>
      </c>
      <c r="D208" s="73" t="s">
        <v>275</v>
      </c>
      <c r="E208" s="26"/>
      <c r="F208" s="27" t="s">
        <v>68</v>
      </c>
      <c r="G208" s="28">
        <v>0.5</v>
      </c>
      <c r="H208" s="28">
        <v>0.4</v>
      </c>
      <c r="I208" s="28">
        <v>0.3</v>
      </c>
      <c r="J208" s="28" t="s">
        <v>77</v>
      </c>
      <c r="K208" s="28">
        <v>0.1</v>
      </c>
      <c r="L208" s="28" t="s">
        <v>68</v>
      </c>
      <c r="M208" s="29">
        <f t="shared" si="3"/>
        <v>1.3</v>
      </c>
      <c r="N208" s="74">
        <v>0.4</v>
      </c>
      <c r="O208" s="74"/>
      <c r="P208" s="30"/>
      <c r="Q208" s="54">
        <v>1.75</v>
      </c>
      <c r="R208" s="30"/>
      <c r="S208" s="30"/>
      <c r="T208" s="55">
        <v>2.7</v>
      </c>
      <c r="U208" s="31"/>
      <c r="V208" s="31"/>
      <c r="W208" s="38">
        <f>Table132[[#This Row],[Suma lab]]+Table132[[#This Row],[Q1]]+Table132[[#This Row],[Q2]]+MAX(Table132[[#This Row],[Partial]:[re2p]])+MAX(Table132[[#This Row],[Final]:[re2f]])</f>
        <v>6.15</v>
      </c>
      <c r="X208" s="70">
        <f>IF(Table132[[#This Row],[Total]]&gt;=9.5, 10, ROUND(Table132[[#This Row],[Total]],0))</f>
        <v>6</v>
      </c>
      <c r="Y208" s="28"/>
      <c r="Z208" s="28"/>
      <c r="AA208" s="65"/>
    </row>
    <row r="209" spans="1:27" ht="15.75" customHeight="1">
      <c r="A209" s="26">
        <v>12</v>
      </c>
      <c r="B209" s="32">
        <v>207</v>
      </c>
      <c r="C209" s="45">
        <v>30228</v>
      </c>
      <c r="D209" s="73" t="s">
        <v>276</v>
      </c>
      <c r="E209" s="26"/>
      <c r="F209" s="27" t="s">
        <v>68</v>
      </c>
      <c r="G209" s="28">
        <v>0.5</v>
      </c>
      <c r="H209" s="28">
        <v>0.4</v>
      </c>
      <c r="I209" s="28">
        <v>0.2</v>
      </c>
      <c r="J209" s="28">
        <v>0.25</v>
      </c>
      <c r="K209" s="28">
        <v>0.25</v>
      </c>
      <c r="L209" s="28" t="s">
        <v>68</v>
      </c>
      <c r="M209" s="29">
        <f t="shared" si="3"/>
        <v>1.6</v>
      </c>
      <c r="N209" s="74">
        <v>0.4</v>
      </c>
      <c r="O209" s="74"/>
      <c r="P209" s="30">
        <v>1.3</v>
      </c>
      <c r="Q209" s="54">
        <v>2.0499999999999998</v>
      </c>
      <c r="R209" s="30"/>
      <c r="S209" s="30"/>
      <c r="T209" s="55">
        <v>2.8</v>
      </c>
      <c r="U209" s="31"/>
      <c r="V209" s="31"/>
      <c r="W209" s="38">
        <f>Table132[[#This Row],[Suma lab]]+Table132[[#This Row],[Q1]]+Table132[[#This Row],[Q2]]+MAX(Table132[[#This Row],[Partial]:[re2p]])+MAX(Table132[[#This Row],[Final]:[re2f]])</f>
        <v>6.85</v>
      </c>
      <c r="X209" s="70">
        <f>IF(Table132[[#This Row],[Total]]&gt;=9.5, 10, ROUND(Table132[[#This Row],[Total]],0))</f>
        <v>7</v>
      </c>
      <c r="Y209" s="28"/>
      <c r="Z209" s="28"/>
      <c r="AA209" s="65"/>
    </row>
    <row r="210" spans="1:27" ht="15.75" customHeight="1">
      <c r="A210" s="26">
        <v>13</v>
      </c>
      <c r="B210" s="32">
        <v>208</v>
      </c>
      <c r="C210" s="45">
        <v>30228</v>
      </c>
      <c r="D210" s="73" t="s">
        <v>277</v>
      </c>
      <c r="E210" s="26"/>
      <c r="F210" s="27" t="s">
        <v>68</v>
      </c>
      <c r="G210" s="28">
        <v>0.55000000000000004</v>
      </c>
      <c r="H210" s="28">
        <v>0.6</v>
      </c>
      <c r="I210" s="28">
        <v>0.15</v>
      </c>
      <c r="J210" s="28">
        <v>0.3</v>
      </c>
      <c r="K210" s="28">
        <v>0.18</v>
      </c>
      <c r="L210" s="28" t="s">
        <v>68</v>
      </c>
      <c r="M210" s="29">
        <f t="shared" si="3"/>
        <v>1.7799999999999998</v>
      </c>
      <c r="N210" s="74">
        <v>0.2</v>
      </c>
      <c r="O210" s="74"/>
      <c r="P210" s="30">
        <v>0.7</v>
      </c>
      <c r="Q210" s="54">
        <v>2.5499999999999998</v>
      </c>
      <c r="R210" s="30"/>
      <c r="S210" s="30"/>
      <c r="T210" s="55">
        <v>4.5</v>
      </c>
      <c r="U210" s="31"/>
      <c r="V210" s="31"/>
      <c r="W210" s="38">
        <f>Table132[[#This Row],[Suma lab]]+Table132[[#This Row],[Q1]]+Table132[[#This Row],[Q2]]+MAX(Table132[[#This Row],[Partial]:[re2p]])+MAX(Table132[[#This Row],[Final]:[re2f]])</f>
        <v>9.0299999999999994</v>
      </c>
      <c r="X210" s="70">
        <f>IF(Table132[[#This Row],[Total]]&gt;=9.5, 10, ROUND(Table132[[#This Row],[Total]],0))</f>
        <v>9</v>
      </c>
      <c r="Y210" s="28"/>
      <c r="Z210" s="28"/>
      <c r="AA210" s="65"/>
    </row>
    <row r="211" spans="1:27" ht="15.75" customHeight="1">
      <c r="A211" s="26">
        <v>14</v>
      </c>
      <c r="B211" s="32">
        <v>209</v>
      </c>
      <c r="C211" s="45">
        <v>30228</v>
      </c>
      <c r="D211" s="73" t="s">
        <v>278</v>
      </c>
      <c r="E211" s="26"/>
      <c r="F211" s="27" t="s">
        <v>68</v>
      </c>
      <c r="G211" s="28">
        <v>0.6</v>
      </c>
      <c r="H211" s="28">
        <v>0.6</v>
      </c>
      <c r="I211" s="28">
        <v>0.3</v>
      </c>
      <c r="J211" s="28">
        <v>0.2</v>
      </c>
      <c r="K211" s="28">
        <v>0.4</v>
      </c>
      <c r="L211" s="28" t="s">
        <v>68</v>
      </c>
      <c r="M211" s="29">
        <f t="shared" si="3"/>
        <v>2.1</v>
      </c>
      <c r="N211" s="74">
        <v>0.2</v>
      </c>
      <c r="O211" s="74"/>
      <c r="P211" s="30">
        <v>0.3</v>
      </c>
      <c r="Q211" s="54">
        <v>3.05</v>
      </c>
      <c r="R211" s="30"/>
      <c r="S211" s="30"/>
      <c r="T211" s="55">
        <v>4.4000000000000004</v>
      </c>
      <c r="U211" s="31"/>
      <c r="V211" s="31"/>
      <c r="W211" s="38">
        <f>Table132[[#This Row],[Suma lab]]+Table132[[#This Row],[Q1]]+Table132[[#This Row],[Q2]]+MAX(Table132[[#This Row],[Partial]:[re2p]])+MAX(Table132[[#This Row],[Final]:[re2f]])</f>
        <v>9.75</v>
      </c>
      <c r="X211" s="70">
        <f>IF(Table132[[#This Row],[Total]]&gt;=9.5, 10, ROUND(Table132[[#This Row],[Total]],0))</f>
        <v>10</v>
      </c>
      <c r="Y211" s="28"/>
      <c r="Z211" s="28"/>
      <c r="AA211" s="65"/>
    </row>
    <row r="212" spans="1:27" ht="15.75" customHeight="1">
      <c r="A212" s="26">
        <v>15</v>
      </c>
      <c r="B212" s="32">
        <v>210</v>
      </c>
      <c r="C212" s="45">
        <v>30228</v>
      </c>
      <c r="D212" s="73" t="s">
        <v>279</v>
      </c>
      <c r="E212" s="26"/>
      <c r="F212" s="27" t="s">
        <v>68</v>
      </c>
      <c r="G212" s="28">
        <v>0.5</v>
      </c>
      <c r="H212" s="28">
        <v>0.42</v>
      </c>
      <c r="I212" s="28">
        <v>0.6</v>
      </c>
      <c r="J212" s="28">
        <v>0.55000000000000004</v>
      </c>
      <c r="K212" s="28">
        <v>0.6</v>
      </c>
      <c r="L212" s="28" t="s">
        <v>68</v>
      </c>
      <c r="M212" s="29">
        <f t="shared" si="3"/>
        <v>2.6700000000000004</v>
      </c>
      <c r="N212" s="74">
        <v>0.5</v>
      </c>
      <c r="O212" s="74"/>
      <c r="P212" s="30">
        <v>2.2999999999999998</v>
      </c>
      <c r="Q212" s="54">
        <v>0</v>
      </c>
      <c r="R212" s="30"/>
      <c r="S212" s="30"/>
      <c r="T212" s="55">
        <v>5.55</v>
      </c>
      <c r="U212" s="31"/>
      <c r="V212" s="31"/>
      <c r="W212" s="38">
        <f>Table132[[#This Row],[Suma lab]]+Table132[[#This Row],[Q1]]+Table132[[#This Row],[Q2]]+MAX(Table132[[#This Row],[Partial]:[re2p]])+MAX(Table132[[#This Row],[Final]:[re2f]])</f>
        <v>11.02</v>
      </c>
      <c r="X212" s="70">
        <f>IF(Table132[[#This Row],[Total]]&gt;=9.5, 10, ROUND(Table132[[#This Row],[Total]],0))</f>
        <v>10</v>
      </c>
      <c r="Y212" s="28"/>
      <c r="Z212" s="28"/>
      <c r="AA212" s="65"/>
    </row>
    <row r="213" spans="1:27" ht="15.75" customHeight="1">
      <c r="A213" s="26">
        <v>16</v>
      </c>
      <c r="B213" s="32">
        <v>211</v>
      </c>
      <c r="C213" s="45">
        <v>30228</v>
      </c>
      <c r="D213" s="73" t="s">
        <v>280</v>
      </c>
      <c r="E213" s="26"/>
      <c r="F213" s="27" t="s">
        <v>68</v>
      </c>
      <c r="G213" s="28">
        <v>0.6</v>
      </c>
      <c r="H213" s="28">
        <v>0.4</v>
      </c>
      <c r="I213" s="28">
        <v>0.45</v>
      </c>
      <c r="J213" s="28">
        <v>0.6</v>
      </c>
      <c r="K213" s="28">
        <v>0.4</v>
      </c>
      <c r="L213" s="28" t="s">
        <v>68</v>
      </c>
      <c r="M213" s="29">
        <f t="shared" si="3"/>
        <v>2.4499999999999997</v>
      </c>
      <c r="N213" s="74">
        <v>0.1</v>
      </c>
      <c r="O213" s="74">
        <v>0.05</v>
      </c>
      <c r="P213" s="30">
        <v>3</v>
      </c>
      <c r="Q213" s="54">
        <v>0</v>
      </c>
      <c r="R213" s="30"/>
      <c r="S213" s="30"/>
      <c r="T213" s="55">
        <v>4.7</v>
      </c>
      <c r="U213" s="31"/>
      <c r="V213" s="31"/>
      <c r="W213" s="38">
        <f>Table132[[#This Row],[Suma lab]]+Table132[[#This Row],[Q1]]+Table132[[#This Row],[Q2]]+MAX(Table132[[#This Row],[Partial]:[re2p]])+MAX(Table132[[#This Row],[Final]:[re2f]])</f>
        <v>10.3</v>
      </c>
      <c r="X213" s="70">
        <f>IF(Table132[[#This Row],[Total]]&gt;=9.5, 10, ROUND(Table132[[#This Row],[Total]],0))</f>
        <v>10</v>
      </c>
      <c r="Y213" s="28"/>
      <c r="Z213" s="28"/>
      <c r="AA213" s="65"/>
    </row>
    <row r="214" spans="1:27" ht="15.75" customHeight="1">
      <c r="A214" s="26">
        <v>17</v>
      </c>
      <c r="B214" s="32">
        <v>212</v>
      </c>
      <c r="C214" s="45">
        <v>30228</v>
      </c>
      <c r="D214" s="73" t="s">
        <v>281</v>
      </c>
      <c r="E214" s="26"/>
      <c r="F214" s="27" t="s">
        <v>68</v>
      </c>
      <c r="G214" s="28">
        <v>0.6</v>
      </c>
      <c r="H214" s="28">
        <v>0.4</v>
      </c>
      <c r="I214" s="28">
        <v>0.4</v>
      </c>
      <c r="J214" s="28">
        <v>0.6</v>
      </c>
      <c r="K214" s="28">
        <v>0.2</v>
      </c>
      <c r="L214" s="28" t="s">
        <v>68</v>
      </c>
      <c r="M214" s="29">
        <f t="shared" si="3"/>
        <v>2.2000000000000002</v>
      </c>
      <c r="N214" s="74">
        <v>0.5</v>
      </c>
      <c r="O214" s="74">
        <v>0.5</v>
      </c>
      <c r="P214" s="30">
        <v>1.8</v>
      </c>
      <c r="Q214" s="54"/>
      <c r="R214" s="30"/>
      <c r="S214" s="30"/>
      <c r="T214" s="55">
        <v>3.55</v>
      </c>
      <c r="U214" s="31"/>
      <c r="V214" s="31"/>
      <c r="W214" s="38">
        <f>Table132[[#This Row],[Suma lab]]+Table132[[#This Row],[Q1]]+Table132[[#This Row],[Q2]]+MAX(Table132[[#This Row],[Partial]:[re2p]])+MAX(Table132[[#This Row],[Final]:[re2f]])</f>
        <v>8.5500000000000007</v>
      </c>
      <c r="X214" s="70">
        <f>IF(Table132[[#This Row],[Total]]&gt;=9.5, 10, ROUND(Table132[[#This Row],[Total]],0))</f>
        <v>9</v>
      </c>
      <c r="Y214" s="28"/>
      <c r="Z214" s="28"/>
      <c r="AA214" s="65"/>
    </row>
    <row r="215" spans="1:27" ht="15.75" customHeight="1">
      <c r="A215" s="26">
        <v>18</v>
      </c>
      <c r="B215" s="32">
        <v>213</v>
      </c>
      <c r="C215" s="45">
        <v>30228</v>
      </c>
      <c r="D215" s="73" t="s">
        <v>282</v>
      </c>
      <c r="E215" s="26"/>
      <c r="F215" s="27" t="s">
        <v>68</v>
      </c>
      <c r="G215" s="28">
        <v>0.5</v>
      </c>
      <c r="H215" s="28">
        <v>0.55000000000000004</v>
      </c>
      <c r="I215" s="28">
        <v>0.2</v>
      </c>
      <c r="J215" s="28">
        <v>0.4</v>
      </c>
      <c r="K215" s="28">
        <v>0.2</v>
      </c>
      <c r="L215" s="28" t="s">
        <v>68</v>
      </c>
      <c r="M215" s="29">
        <f t="shared" si="3"/>
        <v>1.8499999999999999</v>
      </c>
      <c r="N215" s="74">
        <v>0.3</v>
      </c>
      <c r="O215" s="74"/>
      <c r="P215" s="30">
        <v>1.2</v>
      </c>
      <c r="Q215" s="54">
        <v>0</v>
      </c>
      <c r="R215" s="30"/>
      <c r="S215" s="30"/>
      <c r="T215" s="55">
        <v>4.2</v>
      </c>
      <c r="U215" s="31"/>
      <c r="V215" s="31"/>
      <c r="W215" s="38">
        <f>Table132[[#This Row],[Suma lab]]+Table132[[#This Row],[Q1]]+Table132[[#This Row],[Q2]]+MAX(Table132[[#This Row],[Partial]:[re2p]])+MAX(Table132[[#This Row],[Final]:[re2f]])</f>
        <v>7.55</v>
      </c>
      <c r="X215" s="70">
        <f>IF(Table132[[#This Row],[Total]]&gt;=9.5, 10, ROUND(Table132[[#This Row],[Total]],0))</f>
        <v>8</v>
      </c>
      <c r="Y215" s="28"/>
      <c r="Z215" s="28"/>
      <c r="AA215" s="65"/>
    </row>
    <row r="216" spans="1:27" ht="15.75" customHeight="1">
      <c r="A216" s="26">
        <v>19</v>
      </c>
      <c r="B216" s="32">
        <v>214</v>
      </c>
      <c r="C216" s="45">
        <v>30228</v>
      </c>
      <c r="D216" s="73" t="s">
        <v>283</v>
      </c>
      <c r="E216" s="26"/>
      <c r="F216" s="33" t="s">
        <v>68</v>
      </c>
      <c r="G216" s="34">
        <v>0.55000000000000004</v>
      </c>
      <c r="H216" s="34">
        <v>0.4</v>
      </c>
      <c r="I216" s="34">
        <v>0.4</v>
      </c>
      <c r="J216" s="34">
        <v>0.5</v>
      </c>
      <c r="K216" s="34">
        <v>0.4</v>
      </c>
      <c r="L216" s="34" t="s">
        <v>68</v>
      </c>
      <c r="M216" s="35">
        <f t="shared" si="3"/>
        <v>2.25</v>
      </c>
      <c r="N216" s="75"/>
      <c r="O216" s="75"/>
      <c r="P216" s="36">
        <v>3.25</v>
      </c>
      <c r="Q216" s="58"/>
      <c r="R216" s="36"/>
      <c r="S216" s="36"/>
      <c r="T216" s="59">
        <v>5.15</v>
      </c>
      <c r="U216" s="37"/>
      <c r="V216" s="37"/>
      <c r="W216" s="38">
        <f>Table132[[#This Row],[Suma lab]]+Table132[[#This Row],[Q1]]+Table132[[#This Row],[Q2]]+MAX(Table132[[#This Row],[Partial]:[re2p]])+MAX(Table132[[#This Row],[Final]:[re2f]])</f>
        <v>10.65</v>
      </c>
      <c r="X216" s="70">
        <f>IF(Table132[[#This Row],[Total]]&gt;=9.5, 10, ROUND(Table132[[#This Row],[Total]],0))</f>
        <v>10</v>
      </c>
      <c r="Y216" s="34"/>
      <c r="Z216" s="34"/>
      <c r="AA216" s="66"/>
    </row>
    <row r="217" spans="1:27" ht="15.75" customHeight="1">
      <c r="A217" s="26">
        <v>20</v>
      </c>
      <c r="B217" s="32">
        <v>215</v>
      </c>
      <c r="C217" s="45">
        <v>30228</v>
      </c>
      <c r="D217" s="73" t="s">
        <v>284</v>
      </c>
      <c r="E217" s="26"/>
      <c r="F217" s="27" t="s">
        <v>68</v>
      </c>
      <c r="G217" s="28">
        <v>0.55000000000000004</v>
      </c>
      <c r="H217" s="28">
        <v>0.2</v>
      </c>
      <c r="I217" s="28">
        <v>0.05</v>
      </c>
      <c r="J217" s="28">
        <v>0.45</v>
      </c>
      <c r="K217" s="28" t="s">
        <v>68</v>
      </c>
      <c r="L217" s="28" t="s">
        <v>68</v>
      </c>
      <c r="M217" s="29">
        <f t="shared" si="3"/>
        <v>1.25</v>
      </c>
      <c r="N217" s="74">
        <v>0.35</v>
      </c>
      <c r="O217" s="74"/>
      <c r="P217" s="30">
        <v>3.5</v>
      </c>
      <c r="Q217" s="54">
        <v>0</v>
      </c>
      <c r="R217" s="30"/>
      <c r="S217" s="30"/>
      <c r="T217" s="55">
        <v>4.8</v>
      </c>
      <c r="U217" s="31"/>
      <c r="V217" s="31"/>
      <c r="W217" s="38">
        <f>Table132[[#This Row],[Suma lab]]+Table132[[#This Row],[Q1]]+Table132[[#This Row],[Q2]]+MAX(Table132[[#This Row],[Partial]:[re2p]])+MAX(Table132[[#This Row],[Final]:[re2f]])</f>
        <v>9.8999999999999986</v>
      </c>
      <c r="X217" s="70">
        <f>IF(Table132[[#This Row],[Total]]&gt;=9.5, 10, ROUND(Table132[[#This Row],[Total]],0))</f>
        <v>10</v>
      </c>
      <c r="Y217" s="28"/>
      <c r="Z217" s="28"/>
      <c r="AA217" s="65"/>
    </row>
    <row r="218" spans="1:27" ht="15.75" customHeight="1">
      <c r="A218" s="26">
        <v>21</v>
      </c>
      <c r="B218" s="32">
        <v>216</v>
      </c>
      <c r="C218" s="45">
        <v>30228</v>
      </c>
      <c r="D218" s="73" t="s">
        <v>285</v>
      </c>
      <c r="E218" s="26"/>
      <c r="F218" s="27" t="s">
        <v>68</v>
      </c>
      <c r="G218" s="28">
        <v>0.6</v>
      </c>
      <c r="H218" s="28">
        <v>0.6</v>
      </c>
      <c r="I218" s="28">
        <v>0.35</v>
      </c>
      <c r="J218" s="28">
        <v>0.6</v>
      </c>
      <c r="K218" s="28">
        <v>0.6</v>
      </c>
      <c r="L218" s="28" t="s">
        <v>68</v>
      </c>
      <c r="M218" s="29">
        <f t="shared" si="3"/>
        <v>2.75</v>
      </c>
      <c r="N218" s="74">
        <v>0.5</v>
      </c>
      <c r="O218" s="74"/>
      <c r="P218" s="30">
        <v>4</v>
      </c>
      <c r="Q218" s="54"/>
      <c r="R218" s="30"/>
      <c r="S218" s="30"/>
      <c r="T218" s="55">
        <v>4.45</v>
      </c>
      <c r="U218" s="31"/>
      <c r="V218" s="31"/>
      <c r="W218" s="38">
        <f>Table132[[#This Row],[Suma lab]]+Table132[[#This Row],[Q1]]+Table132[[#This Row],[Q2]]+MAX(Table132[[#This Row],[Partial]:[re2p]])+MAX(Table132[[#This Row],[Final]:[re2f]])</f>
        <v>11.7</v>
      </c>
      <c r="X218" s="70">
        <f>IF(Table132[[#This Row],[Total]]&gt;=9.5, 10, ROUND(Table132[[#This Row],[Total]],0))</f>
        <v>10</v>
      </c>
      <c r="Y218" s="28"/>
      <c r="Z218" s="28"/>
      <c r="AA218" s="65"/>
    </row>
    <row r="219" spans="1:27" ht="15.75" customHeight="1">
      <c r="A219" s="26">
        <v>22</v>
      </c>
      <c r="B219" s="32">
        <v>217</v>
      </c>
      <c r="C219" s="45">
        <v>30228</v>
      </c>
      <c r="D219" s="73" t="s">
        <v>286</v>
      </c>
      <c r="E219" s="26"/>
      <c r="F219" s="27" t="s">
        <v>68</v>
      </c>
      <c r="G219" s="28">
        <v>0.3</v>
      </c>
      <c r="H219" s="28">
        <v>0.2</v>
      </c>
      <c r="I219" s="28">
        <v>0.1</v>
      </c>
      <c r="J219" s="28"/>
      <c r="K219" s="28"/>
      <c r="L219" s="28"/>
      <c r="M219" s="29">
        <f t="shared" si="3"/>
        <v>0.6</v>
      </c>
      <c r="N219" s="74"/>
      <c r="O219" s="74"/>
      <c r="P219" s="30"/>
      <c r="Q219" s="54"/>
      <c r="R219" s="30"/>
      <c r="S219" s="30"/>
      <c r="T219" s="55"/>
      <c r="U219" s="31"/>
      <c r="V219" s="31"/>
      <c r="W219" s="82">
        <f>Table132[[#This Row],[Suma lab]]+Table132[[#This Row],[Q1]]+Table132[[#This Row],[Q2]]+MAX(Table132[[#This Row],[Partial]:[re2p]],Table132[[#This Row],[maxp]])+MAX(Table132[[#This Row],[Final]:[re2f]],Table132[[#This Row],[maxf]])</f>
        <v>1.6</v>
      </c>
      <c r="X219" s="70" t="s">
        <v>3</v>
      </c>
      <c r="Y219" s="28">
        <v>0.6</v>
      </c>
      <c r="Z219" s="28">
        <v>0.4</v>
      </c>
      <c r="AA219" s="65" t="s">
        <v>287</v>
      </c>
    </row>
    <row r="220" spans="1:27" ht="15.75" customHeight="1">
      <c r="A220" s="26">
        <v>23</v>
      </c>
      <c r="B220" s="32">
        <v>218</v>
      </c>
      <c r="C220" s="45">
        <v>30228</v>
      </c>
      <c r="D220" s="73" t="s">
        <v>288</v>
      </c>
      <c r="E220" s="26"/>
      <c r="F220" s="27" t="s">
        <v>68</v>
      </c>
      <c r="G220" s="28">
        <v>0.6</v>
      </c>
      <c r="H220" s="28">
        <v>0.6</v>
      </c>
      <c r="I220" s="28">
        <v>0.55000000000000004</v>
      </c>
      <c r="J220" s="28">
        <v>0.2</v>
      </c>
      <c r="K220" s="28">
        <v>0.2</v>
      </c>
      <c r="L220" s="28" t="s">
        <v>68</v>
      </c>
      <c r="M220" s="29">
        <f t="shared" si="3"/>
        <v>2.15</v>
      </c>
      <c r="N220" s="74"/>
      <c r="O220" s="74">
        <v>0.2</v>
      </c>
      <c r="P220" s="30">
        <v>2.2999999999999998</v>
      </c>
      <c r="Q220" s="54"/>
      <c r="R220" s="30"/>
      <c r="S220" s="30"/>
      <c r="T220" s="55">
        <v>4.8499999999999996</v>
      </c>
      <c r="U220" s="31"/>
      <c r="V220" s="31"/>
      <c r="W220" s="38">
        <f>Table132[[#This Row],[Suma lab]]+Table132[[#This Row],[Q1]]+Table132[[#This Row],[Q2]]+MAX(Table132[[#This Row],[Partial]:[re2p]])+MAX(Table132[[#This Row],[Final]:[re2f]])</f>
        <v>9.5</v>
      </c>
      <c r="X220" s="70">
        <f>IF(Table132[[#This Row],[Total]]&gt;=9.5, 10, ROUND(Table132[[#This Row],[Total]],0))</f>
        <v>10</v>
      </c>
      <c r="Y220" s="28"/>
      <c r="Z220" s="28"/>
      <c r="AA220" s="65"/>
    </row>
    <row r="221" spans="1:27" ht="15.75" customHeight="1">
      <c r="A221" s="26">
        <v>24</v>
      </c>
      <c r="B221" s="32">
        <v>219</v>
      </c>
      <c r="C221" s="45">
        <v>30228</v>
      </c>
      <c r="D221" s="73" t="s">
        <v>289</v>
      </c>
      <c r="E221" s="26"/>
      <c r="F221" s="27"/>
      <c r="G221" s="28"/>
      <c r="H221" s="28"/>
      <c r="I221" s="28"/>
      <c r="J221" s="28"/>
      <c r="K221" s="28"/>
      <c r="L221" s="28"/>
      <c r="M221" s="29">
        <f t="shared" si="3"/>
        <v>0</v>
      </c>
      <c r="N221" s="74"/>
      <c r="O221" s="74"/>
      <c r="P221" s="30"/>
      <c r="Q221" s="54"/>
      <c r="R221" s="30"/>
      <c r="S221" s="30"/>
      <c r="T221" s="55"/>
      <c r="U221" s="31"/>
      <c r="V221" s="31"/>
      <c r="W221" s="38">
        <f>Table132[[#This Row],[Suma lab]]+Table132[[#This Row],[Q1]]+Table132[[#This Row],[Q2]]+MAX(Table132[[#This Row],[Partial]:[re2p]])+MAX(Table132[[#This Row],[Final]:[re2f]])</f>
        <v>0</v>
      </c>
      <c r="X221" s="70">
        <v>-2</v>
      </c>
      <c r="Y221" s="28"/>
      <c r="Z221" s="28"/>
      <c r="AA221" s="65"/>
    </row>
    <row r="222" spans="1:27" ht="15.75" customHeight="1">
      <c r="A222" s="26">
        <v>25</v>
      </c>
      <c r="B222" s="32">
        <v>220</v>
      </c>
      <c r="C222" s="45">
        <v>30228</v>
      </c>
      <c r="D222" s="73" t="s">
        <v>290</v>
      </c>
      <c r="E222" s="26"/>
      <c r="F222" s="27" t="s">
        <v>68</v>
      </c>
      <c r="G222" s="28">
        <v>0.6</v>
      </c>
      <c r="H222" s="28">
        <v>0.5</v>
      </c>
      <c r="I222" s="28">
        <v>0.15</v>
      </c>
      <c r="J222" s="28">
        <v>0.15</v>
      </c>
      <c r="K222" s="28">
        <v>0</v>
      </c>
      <c r="L222" s="28" t="s">
        <v>68</v>
      </c>
      <c r="M222" s="29">
        <f t="shared" si="3"/>
        <v>1.4</v>
      </c>
      <c r="N222" s="74">
        <v>0.05</v>
      </c>
      <c r="O222" s="74"/>
      <c r="P222" s="30">
        <v>0.6</v>
      </c>
      <c r="Q222" s="54">
        <v>1.95</v>
      </c>
      <c r="R222" s="30"/>
      <c r="S222" s="30"/>
      <c r="T222" s="55">
        <v>0.7</v>
      </c>
      <c r="U222" s="31"/>
      <c r="V222" s="31"/>
      <c r="W222" s="38">
        <f>Table132[[#This Row],[Suma lab]]+Table132[[#This Row],[Q1]]+Table132[[#This Row],[Q2]]+MAX(Table132[[#This Row],[Partial]:[re2p]])+MAX(Table132[[#This Row],[Final]:[re2f]])</f>
        <v>4.0999999999999996</v>
      </c>
      <c r="X222" s="70">
        <f>IF(Table132[[#This Row],[Total]]&gt;=9.5, 10, ROUND(Table132[[#This Row],[Total]],0))</f>
        <v>4</v>
      </c>
      <c r="Y222" s="28"/>
      <c r="Z222" s="28"/>
      <c r="AA222" s="65"/>
    </row>
    <row r="223" spans="1:27" ht="15.75" customHeight="1">
      <c r="A223" s="26">
        <v>26</v>
      </c>
      <c r="B223" s="32">
        <v>221</v>
      </c>
      <c r="C223" s="45">
        <v>30228</v>
      </c>
      <c r="D223" s="73" t="s">
        <v>291</v>
      </c>
      <c r="E223" s="26"/>
      <c r="F223" s="27" t="s">
        <v>68</v>
      </c>
      <c r="G223" s="28">
        <v>0.4</v>
      </c>
      <c r="H223" s="28">
        <v>0.6</v>
      </c>
      <c r="I223" s="28">
        <v>0.4</v>
      </c>
      <c r="J223" s="28">
        <v>0.4</v>
      </c>
      <c r="K223" s="28">
        <v>0</v>
      </c>
      <c r="L223" s="28" t="s">
        <v>68</v>
      </c>
      <c r="M223" s="29">
        <f t="shared" si="3"/>
        <v>1.7999999999999998</v>
      </c>
      <c r="N223" s="74">
        <v>0.3</v>
      </c>
      <c r="O223" s="74"/>
      <c r="P223" s="30">
        <v>4</v>
      </c>
      <c r="Q223" s="54">
        <v>0</v>
      </c>
      <c r="R223" s="30"/>
      <c r="S223" s="30"/>
      <c r="T223" s="55">
        <v>4.7</v>
      </c>
      <c r="U223" s="31"/>
      <c r="V223" s="31"/>
      <c r="W223" s="38">
        <f>Table132[[#This Row],[Suma lab]]+Table132[[#This Row],[Q1]]+Table132[[#This Row],[Q2]]+MAX(Table132[[#This Row],[Partial]:[re2p]])+MAX(Table132[[#This Row],[Final]:[re2f]])</f>
        <v>10.8</v>
      </c>
      <c r="X223" s="70">
        <f>IF(Table132[[#This Row],[Total]]&gt;=9.5, 10, ROUND(Table132[[#This Row],[Total]],0))</f>
        <v>10</v>
      </c>
      <c r="Y223" s="28"/>
      <c r="Z223" s="28"/>
      <c r="AA223" s="65"/>
    </row>
    <row r="224" spans="1:27" ht="15.75" customHeight="1">
      <c r="A224" s="26">
        <v>27</v>
      </c>
      <c r="B224" s="32">
        <v>222</v>
      </c>
      <c r="C224" s="45">
        <v>30228</v>
      </c>
      <c r="D224" s="73" t="s">
        <v>292</v>
      </c>
      <c r="E224" s="26"/>
      <c r="F224" s="27" t="s">
        <v>68</v>
      </c>
      <c r="G224" s="28">
        <v>0.4</v>
      </c>
      <c r="H224" s="28">
        <v>0.55000000000000004</v>
      </c>
      <c r="I224" s="28">
        <v>0.4</v>
      </c>
      <c r="J224" s="28">
        <v>0.2</v>
      </c>
      <c r="K224" s="28">
        <v>0.25</v>
      </c>
      <c r="L224" s="28" t="s">
        <v>68</v>
      </c>
      <c r="M224" s="29">
        <f t="shared" si="3"/>
        <v>1.8</v>
      </c>
      <c r="N224" s="74">
        <v>0.15</v>
      </c>
      <c r="O224" s="74">
        <v>0.25</v>
      </c>
      <c r="P224" s="30">
        <v>1.8</v>
      </c>
      <c r="Q224" s="54">
        <v>0</v>
      </c>
      <c r="R224" s="30"/>
      <c r="S224" s="30"/>
      <c r="T224" s="55">
        <v>4.3</v>
      </c>
      <c r="U224" s="31"/>
      <c r="V224" s="31"/>
      <c r="W224" s="38">
        <f>Table132[[#This Row],[Suma lab]]+Table132[[#This Row],[Q1]]+Table132[[#This Row],[Q2]]+MAX(Table132[[#This Row],[Partial]:[re2p]])+MAX(Table132[[#This Row],[Final]:[re2f]])</f>
        <v>8.3000000000000007</v>
      </c>
      <c r="X224" s="70">
        <f>IF(Table132[[#This Row],[Total]]&gt;=9.5, 10, ROUND(Table132[[#This Row],[Total]],0))</f>
        <v>8</v>
      </c>
      <c r="Y224" s="28"/>
      <c r="Z224" s="28"/>
      <c r="AA224" s="65"/>
    </row>
    <row r="225" spans="1:27" ht="15.75" customHeight="1">
      <c r="A225" s="26">
        <v>28</v>
      </c>
      <c r="B225" s="32">
        <v>223</v>
      </c>
      <c r="C225" s="45">
        <v>30228</v>
      </c>
      <c r="D225" s="73" t="s">
        <v>293</v>
      </c>
      <c r="E225" s="26"/>
      <c r="F225" s="27" t="s">
        <v>68</v>
      </c>
      <c r="G225" s="28">
        <v>0.4</v>
      </c>
      <c r="H225" s="28">
        <v>0.6</v>
      </c>
      <c r="I225" s="28">
        <v>0.4</v>
      </c>
      <c r="J225" s="28">
        <v>0.3</v>
      </c>
      <c r="K225" s="28">
        <v>0</v>
      </c>
      <c r="L225" s="28" t="s">
        <v>68</v>
      </c>
      <c r="M225" s="29">
        <f t="shared" si="3"/>
        <v>1.7</v>
      </c>
      <c r="N225" s="74">
        <v>0</v>
      </c>
      <c r="O225" s="74">
        <v>0.15</v>
      </c>
      <c r="P225" s="30">
        <v>1.5</v>
      </c>
      <c r="Q225" s="54">
        <v>0</v>
      </c>
      <c r="R225" s="30"/>
      <c r="S225" s="30"/>
      <c r="T225" s="55">
        <v>1.7</v>
      </c>
      <c r="U225" s="31"/>
      <c r="V225" s="31"/>
      <c r="W225" s="38">
        <f>Table132[[#This Row],[Suma lab]]+Table132[[#This Row],[Q1]]+Table132[[#This Row],[Q2]]+MAX(Table132[[#This Row],[Partial]:[re2p]])+MAX(Table132[[#This Row],[Final]:[re2f]])</f>
        <v>5.05</v>
      </c>
      <c r="X225" s="70">
        <f>IF(Table132[[#This Row],[Total]]&gt;=9.5, 10, ROUND(Table132[[#This Row],[Total]],0))</f>
        <v>5</v>
      </c>
      <c r="Y225" s="28"/>
      <c r="Z225" s="28"/>
      <c r="AA225" s="65"/>
    </row>
    <row r="226" spans="1:27" ht="15.75" customHeight="1">
      <c r="A226" s="26">
        <v>29</v>
      </c>
      <c r="B226" s="32">
        <v>224</v>
      </c>
      <c r="C226" s="45">
        <v>30228</v>
      </c>
      <c r="D226" s="73" t="s">
        <v>294</v>
      </c>
      <c r="E226" s="26"/>
      <c r="F226" s="27" t="s">
        <v>68</v>
      </c>
      <c r="G226" s="28">
        <v>0.6</v>
      </c>
      <c r="H226" s="28">
        <v>0.4</v>
      </c>
      <c r="I226" s="28">
        <v>0.5</v>
      </c>
      <c r="J226" s="28">
        <v>0.4</v>
      </c>
      <c r="K226" s="28">
        <v>0.2</v>
      </c>
      <c r="L226" s="28" t="s">
        <v>68</v>
      </c>
      <c r="M226" s="29">
        <f t="shared" si="3"/>
        <v>2.1</v>
      </c>
      <c r="N226" s="74">
        <v>0.05</v>
      </c>
      <c r="O226" s="74">
        <v>0.1</v>
      </c>
      <c r="P226" s="30">
        <v>2.9</v>
      </c>
      <c r="Q226" s="54"/>
      <c r="R226" s="30"/>
      <c r="S226" s="30"/>
      <c r="T226" s="55">
        <v>4.45</v>
      </c>
      <c r="U226" s="31"/>
      <c r="V226" s="31"/>
      <c r="W226" s="38">
        <f>Table132[[#This Row],[Suma lab]]+Table132[[#This Row],[Q1]]+Table132[[#This Row],[Q2]]+MAX(Table132[[#This Row],[Partial]:[re2p]])+MAX(Table132[[#This Row],[Final]:[re2f]])</f>
        <v>9.6000000000000014</v>
      </c>
      <c r="X226" s="70">
        <f>IF(Table132[[#This Row],[Total]]&gt;=9.5, 10, ROUND(Table132[[#This Row],[Total]],0))</f>
        <v>10</v>
      </c>
      <c r="Y226" s="28"/>
      <c r="Z226" s="28"/>
      <c r="AA226" s="65"/>
    </row>
    <row r="227" spans="1:27" ht="15.75" customHeight="1">
      <c r="A227" s="26">
        <v>30</v>
      </c>
      <c r="B227" s="32">
        <v>225</v>
      </c>
      <c r="C227" s="45">
        <v>30228</v>
      </c>
      <c r="D227" s="73" t="s">
        <v>295</v>
      </c>
      <c r="E227" s="26" t="s">
        <v>29</v>
      </c>
      <c r="F227" s="27" t="s">
        <v>68</v>
      </c>
      <c r="G227" s="28" t="s">
        <v>77</v>
      </c>
      <c r="H227" s="28">
        <v>0</v>
      </c>
      <c r="I227" s="28">
        <v>0</v>
      </c>
      <c r="J227" s="28" t="s">
        <v>68</v>
      </c>
      <c r="K227" s="28" t="s">
        <v>77</v>
      </c>
      <c r="L227" s="28" t="s">
        <v>68</v>
      </c>
      <c r="M227" s="29">
        <f t="shared" si="3"/>
        <v>0</v>
      </c>
      <c r="N227" s="74"/>
      <c r="O227" s="74"/>
      <c r="P227" s="30"/>
      <c r="Q227" s="54">
        <v>2.7</v>
      </c>
      <c r="R227" s="30"/>
      <c r="S227" s="30"/>
      <c r="T227" s="55">
        <v>5</v>
      </c>
      <c r="U227" s="31"/>
      <c r="V227" s="31"/>
      <c r="W227" s="38">
        <f>Table132[[#This Row],[Suma lab]]+Table132[[#This Row],[Q1]]+Table132[[#This Row],[Q2]]+MAX(Table132[[#This Row],[Partial]:[re2p]])+MAX(Table132[[#This Row],[Final]:[re2f]])</f>
        <v>7.7</v>
      </c>
      <c r="X227" s="70">
        <f>IF(Table132[[#This Row],[Total]]&gt;=9.5, 10, ROUND(Table132[[#This Row],[Total]],0))</f>
        <v>8</v>
      </c>
      <c r="Y227" s="28"/>
      <c r="Z227" s="28"/>
      <c r="AA227" s="65"/>
    </row>
    <row r="228" spans="1:27" ht="15.75" customHeight="1">
      <c r="A228" s="26">
        <v>1</v>
      </c>
      <c r="B228" s="32">
        <v>226</v>
      </c>
      <c r="C228" s="42">
        <v>30229</v>
      </c>
      <c r="D228" s="73" t="s">
        <v>296</v>
      </c>
      <c r="E228" s="26"/>
      <c r="F228" s="27" t="s">
        <v>68</v>
      </c>
      <c r="G228" s="28">
        <v>0.4</v>
      </c>
      <c r="H228" s="28">
        <v>0.56999999999999995</v>
      </c>
      <c r="I228" s="28">
        <v>0.5</v>
      </c>
      <c r="J228" s="28">
        <v>0.6</v>
      </c>
      <c r="K228" s="28">
        <v>0.4</v>
      </c>
      <c r="L228" s="28" t="s">
        <v>68</v>
      </c>
      <c r="M228" s="29">
        <f t="shared" si="3"/>
        <v>2.4699999999999998</v>
      </c>
      <c r="N228" s="74">
        <v>0.1</v>
      </c>
      <c r="O228" s="74">
        <v>0.2</v>
      </c>
      <c r="P228" s="30">
        <v>1.65</v>
      </c>
      <c r="Q228" s="54">
        <v>2</v>
      </c>
      <c r="R228" s="30"/>
      <c r="S228" s="30"/>
      <c r="T228" s="55">
        <v>4.5</v>
      </c>
      <c r="U228" s="31"/>
      <c r="V228" s="31"/>
      <c r="W228" s="38">
        <f>Table132[[#This Row],[Suma lab]]+Table132[[#This Row],[Q1]]+Table132[[#This Row],[Q2]]+MAX(Table132[[#This Row],[Partial]:[re2p]])+MAX(Table132[[#This Row],[Final]:[re2f]])</f>
        <v>9.27</v>
      </c>
      <c r="X228" s="70">
        <f>IF(Table132[[#This Row],[Total]]&gt;=9.5, 10, ROUND(Table132[[#This Row],[Total]],0))</f>
        <v>9</v>
      </c>
      <c r="Y228" s="28"/>
      <c r="Z228" s="28"/>
      <c r="AA228" s="71"/>
    </row>
    <row r="229" spans="1:27" ht="15.75" customHeight="1">
      <c r="A229" s="26">
        <v>2</v>
      </c>
      <c r="B229" s="32">
        <v>227</v>
      </c>
      <c r="C229" s="42">
        <v>30229</v>
      </c>
      <c r="D229" s="73" t="s">
        <v>297</v>
      </c>
      <c r="E229" s="26"/>
      <c r="F229" s="27" t="s">
        <v>68</v>
      </c>
      <c r="G229" s="28">
        <v>0.4</v>
      </c>
      <c r="H229" s="28">
        <v>0.6</v>
      </c>
      <c r="I229" s="28">
        <v>0.2</v>
      </c>
      <c r="J229" s="28">
        <v>0.18</v>
      </c>
      <c r="K229" s="28">
        <v>0.6</v>
      </c>
      <c r="L229" s="28" t="s">
        <v>68</v>
      </c>
      <c r="M229" s="29">
        <f t="shared" si="3"/>
        <v>1.98</v>
      </c>
      <c r="N229" s="74">
        <v>0.5</v>
      </c>
      <c r="O229" s="74"/>
      <c r="P229" s="30">
        <v>1.8</v>
      </c>
      <c r="Q229" s="54"/>
      <c r="R229" s="30"/>
      <c r="S229" s="30"/>
      <c r="T229" s="55">
        <v>4.2</v>
      </c>
      <c r="U229" s="31"/>
      <c r="V229" s="31"/>
      <c r="W229" s="38">
        <f>Table132[[#This Row],[Suma lab]]+Table132[[#This Row],[Q1]]+Table132[[#This Row],[Q2]]+MAX(Table132[[#This Row],[Partial]:[re2p]])+MAX(Table132[[#This Row],[Final]:[re2f]])</f>
        <v>8.48</v>
      </c>
      <c r="X229" s="70">
        <f>IF(Table132[[#This Row],[Total]]&gt;=9.5, 10, ROUND(Table132[[#This Row],[Total]],0))</f>
        <v>8</v>
      </c>
      <c r="Y229" s="28"/>
      <c r="Z229" s="28"/>
      <c r="AA229" s="71"/>
    </row>
    <row r="230" spans="1:27" ht="15.75" customHeight="1">
      <c r="A230" s="26">
        <v>3</v>
      </c>
      <c r="B230" s="32">
        <v>228</v>
      </c>
      <c r="C230" s="42">
        <v>30229</v>
      </c>
      <c r="D230" s="73" t="s">
        <v>298</v>
      </c>
      <c r="E230" s="26"/>
      <c r="F230" s="27" t="s">
        <v>68</v>
      </c>
      <c r="G230" s="28">
        <v>0.4</v>
      </c>
      <c r="H230" s="28">
        <v>0.4</v>
      </c>
      <c r="I230" s="28">
        <v>0.25</v>
      </c>
      <c r="J230" s="28">
        <v>0.38</v>
      </c>
      <c r="K230" s="28">
        <v>0.2</v>
      </c>
      <c r="L230" s="28" t="s">
        <v>68</v>
      </c>
      <c r="M230" s="29">
        <f t="shared" si="3"/>
        <v>1.6300000000000001</v>
      </c>
      <c r="N230" s="74">
        <v>0.05</v>
      </c>
      <c r="O230" s="74">
        <v>0.05</v>
      </c>
      <c r="P230" s="30">
        <v>2.35</v>
      </c>
      <c r="Q230" s="54"/>
      <c r="R230" s="30"/>
      <c r="S230" s="30"/>
      <c r="T230" s="55">
        <v>4.0999999999999996</v>
      </c>
      <c r="U230" s="31"/>
      <c r="V230" s="31"/>
      <c r="W230" s="38">
        <f>Table132[[#This Row],[Suma lab]]+Table132[[#This Row],[Q1]]+Table132[[#This Row],[Q2]]+MAX(Table132[[#This Row],[Partial]:[re2p]])+MAX(Table132[[#This Row],[Final]:[re2f]])</f>
        <v>8.18</v>
      </c>
      <c r="X230" s="70">
        <f>IF(Table132[[#This Row],[Total]]&gt;=9.5, 10, ROUND(Table132[[#This Row],[Total]],0))</f>
        <v>8</v>
      </c>
      <c r="Y230" s="28"/>
      <c r="Z230" s="28"/>
      <c r="AA230" s="71"/>
    </row>
    <row r="231" spans="1:27" ht="15.75" customHeight="1">
      <c r="A231" s="26">
        <v>4</v>
      </c>
      <c r="B231" s="32">
        <v>229</v>
      </c>
      <c r="C231" s="42">
        <v>30229</v>
      </c>
      <c r="D231" s="73" t="s">
        <v>299</v>
      </c>
      <c r="E231" s="26"/>
      <c r="F231" s="27" t="s">
        <v>68</v>
      </c>
      <c r="G231" s="28">
        <v>0.6</v>
      </c>
      <c r="H231" s="28">
        <v>0.55000000000000004</v>
      </c>
      <c r="I231" s="28">
        <v>0.6</v>
      </c>
      <c r="J231" s="28">
        <v>0.4</v>
      </c>
      <c r="K231" s="28">
        <v>0.5</v>
      </c>
      <c r="L231" s="28" t="s">
        <v>68</v>
      </c>
      <c r="M231" s="29">
        <f t="shared" si="3"/>
        <v>2.65</v>
      </c>
      <c r="N231" s="74">
        <v>0.5</v>
      </c>
      <c r="O231" s="74">
        <v>0.5</v>
      </c>
      <c r="P231" s="30">
        <v>3.5</v>
      </c>
      <c r="Q231" s="54"/>
      <c r="R231" s="30"/>
      <c r="S231" s="30"/>
      <c r="T231" s="55">
        <v>4.95</v>
      </c>
      <c r="U231" s="31"/>
      <c r="V231" s="31"/>
      <c r="W231" s="38">
        <f>Table132[[#This Row],[Suma lab]]+Table132[[#This Row],[Q1]]+Table132[[#This Row],[Q2]]+MAX(Table132[[#This Row],[Partial]:[re2p]])+MAX(Table132[[#This Row],[Final]:[re2f]])</f>
        <v>12.100000000000001</v>
      </c>
      <c r="X231" s="70">
        <f>IF(Table132[[#This Row],[Total]]&gt;=9.5, 10, ROUND(Table132[[#This Row],[Total]],0))</f>
        <v>10</v>
      </c>
      <c r="Y231" s="28"/>
      <c r="Z231" s="28"/>
      <c r="AA231" s="71"/>
    </row>
    <row r="232" spans="1:27" ht="15.75" customHeight="1">
      <c r="A232" s="26">
        <v>5</v>
      </c>
      <c r="B232" s="32">
        <v>230</v>
      </c>
      <c r="C232" s="42">
        <v>30229</v>
      </c>
      <c r="D232" s="73" t="s">
        <v>300</v>
      </c>
      <c r="E232" s="26"/>
      <c r="F232" s="27" t="s">
        <v>68</v>
      </c>
      <c r="G232" s="28" t="s">
        <v>301</v>
      </c>
      <c r="H232" s="28">
        <v>0.55000000000000004</v>
      </c>
      <c r="I232" s="28">
        <v>0.6</v>
      </c>
      <c r="J232" s="28">
        <v>0.6</v>
      </c>
      <c r="K232" s="28">
        <v>0.25</v>
      </c>
      <c r="L232" s="28" t="s">
        <v>68</v>
      </c>
      <c r="M232" s="29">
        <f t="shared" si="3"/>
        <v>2</v>
      </c>
      <c r="N232" s="74">
        <v>0.5</v>
      </c>
      <c r="O232" s="74"/>
      <c r="P232" s="30">
        <v>4</v>
      </c>
      <c r="Q232" s="54"/>
      <c r="R232" s="30"/>
      <c r="S232" s="30"/>
      <c r="T232" s="55">
        <v>5.5</v>
      </c>
      <c r="U232" s="31"/>
      <c r="V232" s="31"/>
      <c r="W232" s="38">
        <f>Table132[[#This Row],[Suma lab]]+Table132[[#This Row],[Q1]]+Table132[[#This Row],[Q2]]+MAX(Table132[[#This Row],[Partial]:[re2p]])+MAX(Table132[[#This Row],[Final]:[re2f]])</f>
        <v>12</v>
      </c>
      <c r="X232" s="70">
        <f>IF(Table132[[#This Row],[Total]]&gt;=9.5, 10, ROUND(Table132[[#This Row],[Total]],0))</f>
        <v>10</v>
      </c>
      <c r="Y232" s="28"/>
      <c r="Z232" s="28"/>
      <c r="AA232" s="71"/>
    </row>
    <row r="233" spans="1:27" ht="15.75" customHeight="1">
      <c r="A233" s="26">
        <v>6</v>
      </c>
      <c r="B233" s="32">
        <v>231</v>
      </c>
      <c r="C233" s="42">
        <v>30229</v>
      </c>
      <c r="D233" s="73" t="s">
        <v>302</v>
      </c>
      <c r="E233" s="26"/>
      <c r="F233" s="27" t="s">
        <v>68</v>
      </c>
      <c r="G233" s="28">
        <v>0.6</v>
      </c>
      <c r="H233" s="28">
        <v>0.3</v>
      </c>
      <c r="I233" s="28">
        <v>0.4</v>
      </c>
      <c r="J233" s="28">
        <v>0.15</v>
      </c>
      <c r="K233" s="28">
        <v>0</v>
      </c>
      <c r="L233" s="28" t="s">
        <v>68</v>
      </c>
      <c r="M233" s="29">
        <f t="shared" si="3"/>
        <v>1.4499999999999997</v>
      </c>
      <c r="N233" s="74"/>
      <c r="O233" s="74"/>
      <c r="P233" s="30">
        <v>3</v>
      </c>
      <c r="Q233" s="54">
        <v>2.2000000000000002</v>
      </c>
      <c r="R233" s="30"/>
      <c r="S233" s="30"/>
      <c r="T233" s="55">
        <v>4.5</v>
      </c>
      <c r="U233" s="31"/>
      <c r="V233" s="31"/>
      <c r="W233" s="38">
        <f>Table132[[#This Row],[Suma lab]]+Table132[[#This Row],[Q1]]+Table132[[#This Row],[Q2]]+MAX(Table132[[#This Row],[Partial]:[re2p]])+MAX(Table132[[#This Row],[Final]:[re2f]])</f>
        <v>8.9499999999999993</v>
      </c>
      <c r="X233" s="70">
        <f>IF(Table132[[#This Row],[Total]]&gt;=9.5, 10, ROUND(Table132[[#This Row],[Total]],0))</f>
        <v>9</v>
      </c>
      <c r="Y233" s="28"/>
      <c r="Z233" s="28"/>
      <c r="AA233" s="71"/>
    </row>
    <row r="234" spans="1:27" ht="15.75" customHeight="1">
      <c r="A234" s="26">
        <v>7</v>
      </c>
      <c r="B234" s="32">
        <v>232</v>
      </c>
      <c r="C234" s="42">
        <v>30229</v>
      </c>
      <c r="D234" s="73" t="s">
        <v>303</v>
      </c>
      <c r="E234" s="26"/>
      <c r="F234" s="27" t="s">
        <v>68</v>
      </c>
      <c r="G234" s="28">
        <v>0.6</v>
      </c>
      <c r="H234" s="28">
        <v>0.3</v>
      </c>
      <c r="I234" s="28">
        <v>0.2</v>
      </c>
      <c r="J234" s="28">
        <v>0.55000000000000004</v>
      </c>
      <c r="K234" s="28">
        <v>0.6</v>
      </c>
      <c r="L234" s="28" t="s">
        <v>68</v>
      </c>
      <c r="M234" s="29">
        <f t="shared" si="3"/>
        <v>2.25</v>
      </c>
      <c r="N234" s="74">
        <v>0.4</v>
      </c>
      <c r="O234" s="74"/>
      <c r="P234" s="30">
        <v>4</v>
      </c>
      <c r="Q234" s="54"/>
      <c r="R234" s="30"/>
      <c r="S234" s="30"/>
      <c r="T234" s="55">
        <v>4.8</v>
      </c>
      <c r="U234" s="31"/>
      <c r="V234" s="31"/>
      <c r="W234" s="38">
        <f>Table132[[#This Row],[Suma lab]]+Table132[[#This Row],[Q1]]+Table132[[#This Row],[Q2]]+MAX(Table132[[#This Row],[Partial]:[re2p]])+MAX(Table132[[#This Row],[Final]:[re2f]])</f>
        <v>11.45</v>
      </c>
      <c r="X234" s="70">
        <f>IF(Table132[[#This Row],[Total]]&gt;=9.5, 10, ROUND(Table132[[#This Row],[Total]],0))</f>
        <v>10</v>
      </c>
      <c r="Y234" s="28"/>
      <c r="Z234" s="28"/>
      <c r="AA234" s="71"/>
    </row>
    <row r="235" spans="1:27" ht="15.75" customHeight="1">
      <c r="A235" s="26">
        <v>8</v>
      </c>
      <c r="B235" s="32">
        <v>233</v>
      </c>
      <c r="C235" s="42">
        <v>30229</v>
      </c>
      <c r="D235" s="73" t="s">
        <v>304</v>
      </c>
      <c r="E235" s="26"/>
      <c r="F235" s="27" t="s">
        <v>68</v>
      </c>
      <c r="G235" s="28">
        <v>0.35</v>
      </c>
      <c r="H235" s="28">
        <v>0.15</v>
      </c>
      <c r="I235" s="28">
        <v>0</v>
      </c>
      <c r="J235" s="28">
        <v>0.2</v>
      </c>
      <c r="K235" s="28" t="s">
        <v>77</v>
      </c>
      <c r="L235" s="28" t="s">
        <v>68</v>
      </c>
      <c r="M235" s="29">
        <f t="shared" si="3"/>
        <v>0.7</v>
      </c>
      <c r="N235" s="74">
        <v>0.3</v>
      </c>
      <c r="O235" s="74"/>
      <c r="P235" s="30">
        <v>1.9</v>
      </c>
      <c r="Q235" s="54">
        <v>2.35</v>
      </c>
      <c r="R235" s="30"/>
      <c r="S235" s="30"/>
      <c r="T235" s="55">
        <v>3.95</v>
      </c>
      <c r="U235" s="31"/>
      <c r="V235" s="31"/>
      <c r="W235" s="38">
        <f>Table132[[#This Row],[Suma lab]]+Table132[[#This Row],[Q1]]+Table132[[#This Row],[Q2]]+MAX(Table132[[#This Row],[Partial]:[re2p]])+MAX(Table132[[#This Row],[Final]:[re2f]])</f>
        <v>7.3000000000000007</v>
      </c>
      <c r="X235" s="70">
        <f>IF(Table132[[#This Row],[Total]]&gt;=9.5, 10, ROUND(Table132[[#This Row],[Total]],0))</f>
        <v>7</v>
      </c>
      <c r="Y235" s="28"/>
      <c r="Z235" s="28"/>
      <c r="AA235" s="71"/>
    </row>
    <row r="236" spans="1:27" ht="15.75" customHeight="1">
      <c r="A236" s="26">
        <v>9</v>
      </c>
      <c r="B236" s="32">
        <v>234</v>
      </c>
      <c r="C236" s="42">
        <v>30229</v>
      </c>
      <c r="D236" s="73" t="s">
        <v>305</v>
      </c>
      <c r="E236" s="26"/>
      <c r="F236" s="27" t="s">
        <v>68</v>
      </c>
      <c r="G236" s="28">
        <v>0.5</v>
      </c>
      <c r="H236" s="28">
        <v>0.4</v>
      </c>
      <c r="I236" s="28">
        <v>0.3</v>
      </c>
      <c r="J236" s="28">
        <v>0.6</v>
      </c>
      <c r="K236" s="28">
        <v>0.4</v>
      </c>
      <c r="L236" s="28" t="s">
        <v>68</v>
      </c>
      <c r="M236" s="29">
        <f t="shared" si="3"/>
        <v>2.1999999999999997</v>
      </c>
      <c r="N236" s="74">
        <v>0</v>
      </c>
      <c r="O236" s="74"/>
      <c r="P236" s="30">
        <v>2.25</v>
      </c>
      <c r="Q236" s="54">
        <v>2.5</v>
      </c>
      <c r="R236" s="30"/>
      <c r="S236" s="30"/>
      <c r="T236" s="55">
        <v>4.95</v>
      </c>
      <c r="U236" s="31"/>
      <c r="V236" s="31"/>
      <c r="W236" s="38">
        <f>Table132[[#This Row],[Suma lab]]+Table132[[#This Row],[Q1]]+Table132[[#This Row],[Q2]]+MAX(Table132[[#This Row],[Partial]:[re2p]])+MAX(Table132[[#This Row],[Final]:[re2f]])</f>
        <v>9.6499999999999986</v>
      </c>
      <c r="X236" s="70">
        <f>IF(Table132[[#This Row],[Total]]&gt;=9.5, 10, ROUND(Table132[[#This Row],[Total]],0))</f>
        <v>10</v>
      </c>
      <c r="Y236" s="28"/>
      <c r="Z236" s="28"/>
      <c r="AA236" s="65"/>
    </row>
    <row r="237" spans="1:27" ht="15.75" customHeight="1">
      <c r="A237" s="26">
        <v>10</v>
      </c>
      <c r="B237" s="32">
        <v>235</v>
      </c>
      <c r="C237" s="42">
        <v>30229</v>
      </c>
      <c r="D237" s="73" t="s">
        <v>306</v>
      </c>
      <c r="E237" s="26"/>
      <c r="F237" s="27" t="s">
        <v>68</v>
      </c>
      <c r="G237" s="28">
        <v>0.55000000000000004</v>
      </c>
      <c r="H237" s="28">
        <v>0.35</v>
      </c>
      <c r="I237" s="28">
        <v>0.45</v>
      </c>
      <c r="J237" s="28">
        <v>0.4</v>
      </c>
      <c r="K237" s="28">
        <v>0.6</v>
      </c>
      <c r="L237" s="28" t="s">
        <v>68</v>
      </c>
      <c r="M237" s="29">
        <f t="shared" si="3"/>
        <v>2.35</v>
      </c>
      <c r="N237" s="74">
        <v>0.5</v>
      </c>
      <c r="O237" s="74">
        <v>0.4</v>
      </c>
      <c r="P237" s="30">
        <v>4</v>
      </c>
      <c r="Q237" s="54">
        <v>0</v>
      </c>
      <c r="R237" s="30"/>
      <c r="S237" s="30"/>
      <c r="T237" s="55">
        <v>4.3</v>
      </c>
      <c r="U237" s="31"/>
      <c r="V237" s="31"/>
      <c r="W237" s="38">
        <f>Table132[[#This Row],[Suma lab]]+Table132[[#This Row],[Q1]]+Table132[[#This Row],[Q2]]+MAX(Table132[[#This Row],[Partial]:[re2p]])+MAX(Table132[[#This Row],[Final]:[re2f]])</f>
        <v>11.55</v>
      </c>
      <c r="X237" s="70">
        <f>IF(Table132[[#This Row],[Total]]&gt;=9.5, 10, ROUND(Table132[[#This Row],[Total]],0))</f>
        <v>10</v>
      </c>
      <c r="Y237" s="28"/>
      <c r="Z237" s="28"/>
      <c r="AA237" s="65"/>
    </row>
    <row r="238" spans="1:27" ht="15.75" customHeight="1">
      <c r="A238" s="26">
        <v>11</v>
      </c>
      <c r="B238" s="32">
        <v>236</v>
      </c>
      <c r="C238" s="42">
        <v>30229</v>
      </c>
      <c r="D238" s="73" t="s">
        <v>307</v>
      </c>
      <c r="E238" s="26"/>
      <c r="F238" s="27" t="s">
        <v>68</v>
      </c>
      <c r="G238" s="28">
        <v>0.6</v>
      </c>
      <c r="H238" s="28">
        <v>0.6</v>
      </c>
      <c r="I238" s="28">
        <v>0</v>
      </c>
      <c r="J238" s="28">
        <v>0.25</v>
      </c>
      <c r="K238" s="28">
        <v>0.4</v>
      </c>
      <c r="L238" s="28" t="s">
        <v>68</v>
      </c>
      <c r="M238" s="29">
        <f t="shared" si="3"/>
        <v>1.85</v>
      </c>
      <c r="N238" s="74"/>
      <c r="O238" s="74"/>
      <c r="P238" s="30">
        <v>0.5</v>
      </c>
      <c r="Q238" s="54">
        <v>0.6</v>
      </c>
      <c r="R238" s="30"/>
      <c r="S238" s="30"/>
      <c r="T238" s="55">
        <v>0.45</v>
      </c>
      <c r="U238" s="31"/>
      <c r="V238" s="31"/>
      <c r="W238" s="38">
        <f>Table132[[#This Row],[Suma lab]]+Table132[[#This Row],[Q1]]+Table132[[#This Row],[Q2]]+MAX(Table132[[#This Row],[Partial]:[re2p]])+MAX(Table132[[#This Row],[Final]:[re2f]])</f>
        <v>2.9000000000000004</v>
      </c>
      <c r="X238" s="70">
        <f>IF(Table132[[#This Row],[Total]]&gt;=9.5, 10, ROUND(Table132[[#This Row],[Total]],0))</f>
        <v>3</v>
      </c>
      <c r="Y238" s="28"/>
      <c r="Z238" s="28"/>
      <c r="AA238" s="65"/>
    </row>
    <row r="239" spans="1:27" ht="15.75" customHeight="1">
      <c r="A239" s="26">
        <v>12</v>
      </c>
      <c r="B239" s="32">
        <v>237</v>
      </c>
      <c r="C239" s="42">
        <v>30229</v>
      </c>
      <c r="D239" s="73" t="s">
        <v>308</v>
      </c>
      <c r="E239" s="26"/>
      <c r="F239" s="27" t="s">
        <v>68</v>
      </c>
      <c r="G239" s="28">
        <v>0.6</v>
      </c>
      <c r="H239" s="28">
        <v>0.6</v>
      </c>
      <c r="I239" s="28">
        <v>0.3</v>
      </c>
      <c r="J239" s="28">
        <v>0.35</v>
      </c>
      <c r="K239" s="28">
        <v>0</v>
      </c>
      <c r="L239" s="28" t="s">
        <v>68</v>
      </c>
      <c r="M239" s="29">
        <f t="shared" si="3"/>
        <v>1.85</v>
      </c>
      <c r="N239" s="74"/>
      <c r="O239" s="74"/>
      <c r="P239" s="30">
        <v>2.9</v>
      </c>
      <c r="Q239" s="54"/>
      <c r="R239" s="30"/>
      <c r="S239" s="30"/>
      <c r="T239" s="55">
        <v>6</v>
      </c>
      <c r="U239" s="31"/>
      <c r="V239" s="31"/>
      <c r="W239" s="38">
        <f>Table132[[#This Row],[Suma lab]]+Table132[[#This Row],[Q1]]+Table132[[#This Row],[Q2]]+MAX(Table132[[#This Row],[Partial]:[re2p]])+MAX(Table132[[#This Row],[Final]:[re2f]])</f>
        <v>10.75</v>
      </c>
      <c r="X239" s="70">
        <f>IF(Table132[[#This Row],[Total]]&gt;=9.5, 10, ROUND(Table132[[#This Row],[Total]],0))</f>
        <v>10</v>
      </c>
      <c r="Y239" s="28"/>
      <c r="Z239" s="28"/>
      <c r="AA239" s="65"/>
    </row>
    <row r="240" spans="1:27" ht="15.75" customHeight="1">
      <c r="A240" s="26">
        <v>13</v>
      </c>
      <c r="B240" s="32">
        <v>238</v>
      </c>
      <c r="C240" s="42">
        <v>30229</v>
      </c>
      <c r="D240" s="73" t="s">
        <v>309</v>
      </c>
      <c r="E240" s="26"/>
      <c r="F240" s="27" t="s">
        <v>68</v>
      </c>
      <c r="G240" s="28">
        <v>0.6</v>
      </c>
      <c r="H240" s="28">
        <v>0.6</v>
      </c>
      <c r="I240" s="28">
        <v>0.6</v>
      </c>
      <c r="J240" s="28">
        <v>0.6</v>
      </c>
      <c r="K240" s="28">
        <v>0.6</v>
      </c>
      <c r="L240" s="28" t="s">
        <v>68</v>
      </c>
      <c r="M240" s="29">
        <f t="shared" si="3"/>
        <v>3</v>
      </c>
      <c r="N240" s="74">
        <v>0.5</v>
      </c>
      <c r="O240" s="74">
        <v>0.1</v>
      </c>
      <c r="P240" s="30">
        <v>3.3</v>
      </c>
      <c r="Q240" s="54">
        <v>0</v>
      </c>
      <c r="R240" s="30"/>
      <c r="S240" s="30"/>
      <c r="T240" s="55">
        <v>5.9</v>
      </c>
      <c r="U240" s="31"/>
      <c r="V240" s="31"/>
      <c r="W240" s="38">
        <f>Table132[[#This Row],[Suma lab]]+Table132[[#This Row],[Q1]]+Table132[[#This Row],[Q2]]+MAX(Table132[[#This Row],[Partial]:[re2p]])+MAX(Table132[[#This Row],[Final]:[re2f]])</f>
        <v>12.8</v>
      </c>
      <c r="X240" s="70">
        <f>IF(Table132[[#This Row],[Total]]&gt;=9.5, 10, ROUND(Table132[[#This Row],[Total]],0))</f>
        <v>10</v>
      </c>
      <c r="Y240" s="28"/>
      <c r="Z240" s="28"/>
      <c r="AA240" s="65"/>
    </row>
    <row r="241" spans="1:27" ht="15.75" customHeight="1">
      <c r="A241" s="26">
        <v>14</v>
      </c>
      <c r="B241" s="32">
        <v>239</v>
      </c>
      <c r="C241" s="42">
        <v>30229</v>
      </c>
      <c r="D241" s="73" t="s">
        <v>310</v>
      </c>
      <c r="E241" s="26"/>
      <c r="F241" s="27" t="s">
        <v>68</v>
      </c>
      <c r="G241" s="28">
        <v>0.4</v>
      </c>
      <c r="H241" s="28">
        <v>0.4</v>
      </c>
      <c r="I241" s="28">
        <v>0.1</v>
      </c>
      <c r="J241" s="28">
        <v>0.35</v>
      </c>
      <c r="K241" s="28">
        <v>0.5</v>
      </c>
      <c r="L241" s="28" t="s">
        <v>68</v>
      </c>
      <c r="M241" s="29">
        <f t="shared" si="3"/>
        <v>1.75</v>
      </c>
      <c r="N241" s="74"/>
      <c r="O241" s="74"/>
      <c r="P241" s="30"/>
      <c r="Q241" s="54">
        <v>1.95</v>
      </c>
      <c r="R241" s="30"/>
      <c r="S241" s="30"/>
      <c r="T241" s="55">
        <v>1.25</v>
      </c>
      <c r="U241" s="31"/>
      <c r="V241" s="31"/>
      <c r="W241" s="38">
        <f>Table132[[#This Row],[Suma lab]]+Table132[[#This Row],[Q1]]+Table132[[#This Row],[Q2]]+MAX(Table132[[#This Row],[Partial]:[re2p]])+MAX(Table132[[#This Row],[Final]:[re2f]])</f>
        <v>4.95</v>
      </c>
      <c r="X241" s="70">
        <f>IF(Table132[[#This Row],[Total]]&gt;=9.5, 10, ROUND(Table132[[#This Row],[Total]],0))</f>
        <v>5</v>
      </c>
      <c r="Y241" s="28"/>
      <c r="Z241" s="28"/>
      <c r="AA241" s="65"/>
    </row>
    <row r="242" spans="1:27" ht="15.75" customHeight="1">
      <c r="A242" s="26">
        <v>15</v>
      </c>
      <c r="B242" s="32">
        <v>240</v>
      </c>
      <c r="C242" s="42">
        <v>30229</v>
      </c>
      <c r="D242" s="73" t="s">
        <v>311</v>
      </c>
      <c r="E242" s="26"/>
      <c r="F242" s="27" t="s">
        <v>68</v>
      </c>
      <c r="G242" s="28">
        <v>0.3</v>
      </c>
      <c r="H242" s="28">
        <v>0.3</v>
      </c>
      <c r="I242" s="28" t="s">
        <v>68</v>
      </c>
      <c r="J242" s="28">
        <v>0.05</v>
      </c>
      <c r="K242" s="28">
        <v>0.15</v>
      </c>
      <c r="L242" s="28" t="s">
        <v>68</v>
      </c>
      <c r="M242" s="29">
        <f t="shared" si="3"/>
        <v>0.8</v>
      </c>
      <c r="N242" s="74"/>
      <c r="O242" s="74"/>
      <c r="P242" s="30">
        <v>0.4</v>
      </c>
      <c r="Q242" s="54">
        <v>2.2999999999999998</v>
      </c>
      <c r="R242" s="30"/>
      <c r="S242" s="30"/>
      <c r="T242" s="55">
        <v>1.85</v>
      </c>
      <c r="U242" s="31"/>
      <c r="V242" s="31"/>
      <c r="W242" s="38">
        <f>Table132[[#This Row],[Suma lab]]+Table132[[#This Row],[Q1]]+Table132[[#This Row],[Q2]]+MAX(Table132[[#This Row],[Partial]:[re2p]])+MAX(Table132[[#This Row],[Final]:[re2f]])</f>
        <v>4.9499999999999993</v>
      </c>
      <c r="X242" s="70">
        <f>IF(Table132[[#This Row],[Total]]&gt;=9.5, 10, ROUND(Table132[[#This Row],[Total]],0))</f>
        <v>5</v>
      </c>
      <c r="Y242" s="28"/>
      <c r="Z242" s="28"/>
      <c r="AA242" s="65"/>
    </row>
    <row r="243" spans="1:27" ht="15.75" customHeight="1">
      <c r="A243" s="26">
        <v>16</v>
      </c>
      <c r="B243" s="32">
        <v>241</v>
      </c>
      <c r="C243" s="42">
        <v>30229</v>
      </c>
      <c r="D243" s="73" t="s">
        <v>312</v>
      </c>
      <c r="E243" s="26"/>
      <c r="F243" s="27" t="s">
        <v>68</v>
      </c>
      <c r="G243" s="28">
        <v>0.4</v>
      </c>
      <c r="H243" s="28">
        <v>0.55000000000000004</v>
      </c>
      <c r="I243" s="28">
        <v>0.2</v>
      </c>
      <c r="J243" s="28">
        <v>0.45</v>
      </c>
      <c r="K243" s="28" t="s">
        <v>77</v>
      </c>
      <c r="L243" s="28" t="s">
        <v>68</v>
      </c>
      <c r="M243" s="29">
        <f t="shared" si="3"/>
        <v>1.6</v>
      </c>
      <c r="N243" s="74">
        <v>0.25</v>
      </c>
      <c r="O243" s="74">
        <v>0.1</v>
      </c>
      <c r="P243" s="30">
        <v>3.5</v>
      </c>
      <c r="Q243" s="54">
        <v>0</v>
      </c>
      <c r="R243" s="30"/>
      <c r="S243" s="30"/>
      <c r="T243" s="55">
        <v>5.0999999999999996</v>
      </c>
      <c r="U243" s="31"/>
      <c r="V243" s="31"/>
      <c r="W243" s="38">
        <f>Table132[[#This Row],[Suma lab]]+Table132[[#This Row],[Q1]]+Table132[[#This Row],[Q2]]+MAX(Table132[[#This Row],[Partial]:[re2p]])+MAX(Table132[[#This Row],[Final]:[re2f]])</f>
        <v>10.55</v>
      </c>
      <c r="X243" s="70">
        <f>IF(Table132[[#This Row],[Total]]&gt;=9.5, 10, ROUND(Table132[[#This Row],[Total]],0))</f>
        <v>10</v>
      </c>
      <c r="Y243" s="28"/>
      <c r="Z243" s="28"/>
      <c r="AA243" s="65"/>
    </row>
    <row r="244" spans="1:27" ht="15.75" customHeight="1">
      <c r="A244" s="26">
        <v>17</v>
      </c>
      <c r="B244" s="32">
        <v>242</v>
      </c>
      <c r="C244" s="42">
        <v>30229</v>
      </c>
      <c r="D244" s="73" t="s">
        <v>313</v>
      </c>
      <c r="E244" s="26"/>
      <c r="F244" s="27" t="s">
        <v>68</v>
      </c>
      <c r="G244" s="28" t="s">
        <v>301</v>
      </c>
      <c r="H244" s="28">
        <v>0.6</v>
      </c>
      <c r="I244" s="28">
        <v>0.2</v>
      </c>
      <c r="J244" s="28">
        <v>0.45</v>
      </c>
      <c r="K244" s="28">
        <v>0.2</v>
      </c>
      <c r="L244" s="28" t="s">
        <v>68</v>
      </c>
      <c r="M244" s="29">
        <f t="shared" si="3"/>
        <v>1.45</v>
      </c>
      <c r="N244" s="74"/>
      <c r="O244" s="74"/>
      <c r="P244" s="30">
        <v>1.6</v>
      </c>
      <c r="Q244" s="54">
        <v>3.45</v>
      </c>
      <c r="R244" s="30"/>
      <c r="S244" s="30"/>
      <c r="T244" s="55">
        <v>2.75</v>
      </c>
      <c r="U244" s="31"/>
      <c r="V244" s="31"/>
      <c r="W244" s="38">
        <f>Table132[[#This Row],[Suma lab]]+Table132[[#This Row],[Q1]]+Table132[[#This Row],[Q2]]+MAX(Table132[[#This Row],[Partial]:[re2p]])+MAX(Table132[[#This Row],[Final]:[re2f]])</f>
        <v>7.65</v>
      </c>
      <c r="X244" s="70">
        <f>IF(Table132[[#This Row],[Total]]&gt;=9.5, 10, ROUND(Table132[[#This Row],[Total]],0))</f>
        <v>8</v>
      </c>
      <c r="Y244" s="28"/>
      <c r="Z244" s="28"/>
      <c r="AA244" s="65"/>
    </row>
    <row r="245" spans="1:27" ht="15.75" customHeight="1">
      <c r="A245" s="26">
        <v>18</v>
      </c>
      <c r="B245" s="32">
        <v>243</v>
      </c>
      <c r="C245" s="42">
        <v>30229</v>
      </c>
      <c r="D245" s="73" t="s">
        <v>314</v>
      </c>
      <c r="E245" s="26"/>
      <c r="F245" s="27" t="s">
        <v>68</v>
      </c>
      <c r="G245" s="28">
        <v>0.6</v>
      </c>
      <c r="H245" s="28">
        <v>0.25</v>
      </c>
      <c r="I245" s="28">
        <v>0.4</v>
      </c>
      <c r="J245" s="28">
        <v>0.3</v>
      </c>
      <c r="K245" s="28">
        <v>0.2</v>
      </c>
      <c r="L245" s="28" t="s">
        <v>68</v>
      </c>
      <c r="M245" s="29">
        <f t="shared" si="3"/>
        <v>1.75</v>
      </c>
      <c r="N245" s="74"/>
      <c r="O245" s="74"/>
      <c r="P245" s="30">
        <v>1.4</v>
      </c>
      <c r="Q245" s="54"/>
      <c r="R245" s="30"/>
      <c r="S245" s="30"/>
      <c r="T245" s="55"/>
      <c r="U245" s="31"/>
      <c r="V245" s="31"/>
      <c r="W245" s="38">
        <f>Table132[[#This Row],[Suma lab]]+Table132[[#This Row],[Q1]]+Table132[[#This Row],[Q2]]+MAX(Table132[[#This Row],[Partial]:[re2p]])+MAX(Table132[[#This Row],[Final]:[re2f]])</f>
        <v>3.15</v>
      </c>
      <c r="X245" s="70" t="s">
        <v>3</v>
      </c>
      <c r="Y245" s="28"/>
      <c r="Z245" s="28"/>
      <c r="AA245" s="65"/>
    </row>
    <row r="246" spans="1:27" ht="15.75" customHeight="1">
      <c r="A246" s="26">
        <v>19</v>
      </c>
      <c r="B246" s="32">
        <v>244</v>
      </c>
      <c r="C246" s="42">
        <v>30229</v>
      </c>
      <c r="D246" s="73" t="s">
        <v>315</v>
      </c>
      <c r="E246" s="26"/>
      <c r="F246" s="27" t="s">
        <v>68</v>
      </c>
      <c r="G246" s="28">
        <v>0.6</v>
      </c>
      <c r="H246" s="28">
        <v>0.5</v>
      </c>
      <c r="I246" s="28">
        <v>0</v>
      </c>
      <c r="J246" s="28">
        <v>0.55000000000000004</v>
      </c>
      <c r="K246" s="28">
        <v>0.4</v>
      </c>
      <c r="L246" s="28" t="s">
        <v>68</v>
      </c>
      <c r="M246" s="29">
        <f t="shared" si="3"/>
        <v>2.0500000000000003</v>
      </c>
      <c r="N246" s="74">
        <v>0.3</v>
      </c>
      <c r="O246" s="74">
        <v>0.15</v>
      </c>
      <c r="P246" s="30">
        <v>2.4</v>
      </c>
      <c r="Q246" s="54"/>
      <c r="R246" s="30"/>
      <c r="S246" s="30"/>
      <c r="T246" s="55">
        <v>4.3</v>
      </c>
      <c r="U246" s="31"/>
      <c r="V246" s="31"/>
      <c r="W246" s="38">
        <f>Table132[[#This Row],[Suma lab]]+Table132[[#This Row],[Q1]]+Table132[[#This Row],[Q2]]+MAX(Table132[[#This Row],[Partial]:[re2p]])+MAX(Table132[[#This Row],[Final]:[re2f]])</f>
        <v>9.1999999999999993</v>
      </c>
      <c r="X246" s="70">
        <f>IF(Table132[[#This Row],[Total]]&gt;=9.5, 10, ROUND(Table132[[#This Row],[Total]],0))</f>
        <v>9</v>
      </c>
      <c r="Y246" s="28"/>
      <c r="Z246" s="28"/>
      <c r="AA246" s="65"/>
    </row>
    <row r="247" spans="1:27" ht="15.75" customHeight="1">
      <c r="A247" s="26">
        <v>20</v>
      </c>
      <c r="B247" s="32">
        <v>245</v>
      </c>
      <c r="C247" s="42">
        <v>30229</v>
      </c>
      <c r="D247" s="73" t="s">
        <v>316</v>
      </c>
      <c r="E247" s="26"/>
      <c r="F247" s="27" t="s">
        <v>68</v>
      </c>
      <c r="G247" s="28">
        <v>0.6</v>
      </c>
      <c r="H247" s="28">
        <v>0.6</v>
      </c>
      <c r="I247" s="28">
        <v>0.3</v>
      </c>
      <c r="J247" s="28">
        <v>0.2</v>
      </c>
      <c r="K247" s="28">
        <v>0.6</v>
      </c>
      <c r="L247" s="28" t="s">
        <v>68</v>
      </c>
      <c r="M247" s="29">
        <f t="shared" si="3"/>
        <v>2.2999999999999998</v>
      </c>
      <c r="N247" s="74">
        <v>0.4</v>
      </c>
      <c r="O247" s="74">
        <v>0.1</v>
      </c>
      <c r="P247" s="30">
        <v>3.7</v>
      </c>
      <c r="Q247" s="54"/>
      <c r="R247" s="30"/>
      <c r="S247" s="30"/>
      <c r="T247" s="55">
        <v>5.6</v>
      </c>
      <c r="U247" s="31"/>
      <c r="V247" s="31"/>
      <c r="W247" s="38">
        <f>Table132[[#This Row],[Suma lab]]+Table132[[#This Row],[Q1]]+Table132[[#This Row],[Q2]]+MAX(Table132[[#This Row],[Partial]:[re2p]])+MAX(Table132[[#This Row],[Final]:[re2f]])</f>
        <v>12.1</v>
      </c>
      <c r="X247" s="70">
        <f>IF(Table132[[#This Row],[Total]]&gt;=9.5, 10, ROUND(Table132[[#This Row],[Total]],0))</f>
        <v>10</v>
      </c>
      <c r="Y247" s="28"/>
      <c r="Z247" s="28"/>
      <c r="AA247" s="65"/>
    </row>
    <row r="248" spans="1:27" ht="15.75" customHeight="1">
      <c r="A248" s="26">
        <v>21</v>
      </c>
      <c r="B248" s="32">
        <v>246</v>
      </c>
      <c r="C248" s="42">
        <v>30229</v>
      </c>
      <c r="D248" s="73" t="s">
        <v>317</v>
      </c>
      <c r="E248" s="26"/>
      <c r="F248" s="27" t="s">
        <v>68</v>
      </c>
      <c r="G248" s="34">
        <v>0.6</v>
      </c>
      <c r="H248" s="34">
        <v>0.2</v>
      </c>
      <c r="I248" s="34">
        <v>0</v>
      </c>
      <c r="J248" s="34">
        <v>0.55000000000000004</v>
      </c>
      <c r="K248" s="34">
        <v>0.2</v>
      </c>
      <c r="L248" s="34" t="s">
        <v>68</v>
      </c>
      <c r="M248" s="35">
        <f t="shared" si="3"/>
        <v>1.55</v>
      </c>
      <c r="N248" s="75"/>
      <c r="O248" s="75"/>
      <c r="P248" s="36">
        <v>0.8</v>
      </c>
      <c r="Q248" s="58">
        <v>2.25</v>
      </c>
      <c r="R248" s="36"/>
      <c r="S248" s="36"/>
      <c r="T248" s="59">
        <v>4</v>
      </c>
      <c r="U248" s="37"/>
      <c r="V248" s="37"/>
      <c r="W248" s="38">
        <f>Table132[[#This Row],[Suma lab]]+Table132[[#This Row],[Q1]]+Table132[[#This Row],[Q2]]+MAX(Table132[[#This Row],[Partial]:[re2p]])+MAX(Table132[[#This Row],[Final]:[re2f]])</f>
        <v>7.8</v>
      </c>
      <c r="X248" s="70">
        <f>IF(Table132[[#This Row],[Total]]&gt;=9.5, 10, ROUND(Table132[[#This Row],[Total]],0))</f>
        <v>8</v>
      </c>
      <c r="Y248" s="34"/>
      <c r="Z248" s="34"/>
      <c r="AA248" s="66"/>
    </row>
    <row r="249" spans="1:27" ht="15.75" customHeight="1">
      <c r="A249" s="26">
        <v>22</v>
      </c>
      <c r="B249" s="32">
        <v>247</v>
      </c>
      <c r="C249" s="42">
        <v>30229</v>
      </c>
      <c r="D249" s="73" t="s">
        <v>318</v>
      </c>
      <c r="E249" s="26"/>
      <c r="F249" s="27" t="s">
        <v>68</v>
      </c>
      <c r="G249" s="28">
        <v>0.6</v>
      </c>
      <c r="H249" s="28">
        <v>0.25</v>
      </c>
      <c r="I249" s="28">
        <v>0.25</v>
      </c>
      <c r="J249" s="28">
        <v>0.25</v>
      </c>
      <c r="K249" s="28">
        <v>0.2</v>
      </c>
      <c r="L249" s="28" t="s">
        <v>68</v>
      </c>
      <c r="M249" s="29">
        <f t="shared" si="3"/>
        <v>1.55</v>
      </c>
      <c r="N249" s="74"/>
      <c r="O249" s="74"/>
      <c r="P249" s="30">
        <v>3.8</v>
      </c>
      <c r="Q249" s="54"/>
      <c r="R249" s="30"/>
      <c r="S249" s="30"/>
      <c r="T249" s="55">
        <v>3.9</v>
      </c>
      <c r="U249" s="31"/>
      <c r="V249" s="31"/>
      <c r="W249" s="38">
        <f>Table132[[#This Row],[Suma lab]]+Table132[[#This Row],[Q1]]+Table132[[#This Row],[Q2]]+MAX(Table132[[#This Row],[Partial]:[re2p]])+MAX(Table132[[#This Row],[Final]:[re2f]])</f>
        <v>9.25</v>
      </c>
      <c r="X249" s="70">
        <f>IF(Table132[[#This Row],[Total]]&gt;=9.5, 10, ROUND(Table132[[#This Row],[Total]],0))</f>
        <v>9</v>
      </c>
      <c r="Y249" s="28"/>
      <c r="Z249" s="28"/>
      <c r="AA249" s="65"/>
    </row>
    <row r="250" spans="1:27" ht="15.75" customHeight="1">
      <c r="A250" s="26">
        <v>23</v>
      </c>
      <c r="B250" s="32">
        <v>248</v>
      </c>
      <c r="C250" s="42">
        <v>30229</v>
      </c>
      <c r="D250" s="73" t="s">
        <v>319</v>
      </c>
      <c r="E250" s="26"/>
      <c r="F250" s="27" t="s">
        <v>68</v>
      </c>
      <c r="G250" s="28">
        <v>0.4</v>
      </c>
      <c r="H250" s="28">
        <v>0.6</v>
      </c>
      <c r="I250" s="28">
        <v>0.15</v>
      </c>
      <c r="J250" s="28">
        <v>0.15</v>
      </c>
      <c r="K250" s="28">
        <v>0.2</v>
      </c>
      <c r="L250" s="28" t="s">
        <v>68</v>
      </c>
      <c r="M250" s="29">
        <f t="shared" si="3"/>
        <v>1.4999999999999998</v>
      </c>
      <c r="N250" s="74">
        <v>0.35</v>
      </c>
      <c r="O250" s="74">
        <v>0.35</v>
      </c>
      <c r="P250" s="30">
        <v>3</v>
      </c>
      <c r="Q250" s="54"/>
      <c r="R250" s="30"/>
      <c r="S250" s="30"/>
      <c r="T250" s="55">
        <v>2.8</v>
      </c>
      <c r="U250" s="31"/>
      <c r="V250" s="31"/>
      <c r="W250" s="38">
        <f>Table132[[#This Row],[Suma lab]]+Table132[[#This Row],[Q1]]+Table132[[#This Row],[Q2]]+MAX(Table132[[#This Row],[Partial]:[re2p]])+MAX(Table132[[#This Row],[Final]:[re2f]])</f>
        <v>7.9999999999999991</v>
      </c>
      <c r="X250" s="70">
        <f>IF(Table132[[#This Row],[Total]]&gt;=9.5, 10, ROUND(Table132[[#This Row],[Total]],0))</f>
        <v>8</v>
      </c>
      <c r="Y250" s="28"/>
      <c r="Z250" s="28"/>
      <c r="AA250" s="65"/>
    </row>
    <row r="251" spans="1:27" ht="15.75" customHeight="1">
      <c r="A251" s="26">
        <v>24</v>
      </c>
      <c r="B251" s="32">
        <v>249</v>
      </c>
      <c r="C251" s="42">
        <v>30229</v>
      </c>
      <c r="D251" s="73" t="s">
        <v>320</v>
      </c>
      <c r="E251" s="26"/>
      <c r="F251" s="27" t="s">
        <v>68</v>
      </c>
      <c r="G251" s="28">
        <v>0.3</v>
      </c>
      <c r="H251" s="28">
        <v>0.25</v>
      </c>
      <c r="I251" s="28" t="s">
        <v>68</v>
      </c>
      <c r="J251" s="28" t="s">
        <v>68</v>
      </c>
      <c r="K251" s="28">
        <v>0.25</v>
      </c>
      <c r="L251" s="28" t="s">
        <v>68</v>
      </c>
      <c r="M251" s="29">
        <f t="shared" si="3"/>
        <v>0.8</v>
      </c>
      <c r="N251" s="74"/>
      <c r="O251" s="74"/>
      <c r="P251" s="30">
        <v>0.6</v>
      </c>
      <c r="Q251" s="54">
        <v>1.45</v>
      </c>
      <c r="R251" s="30"/>
      <c r="S251" s="30"/>
      <c r="T251" s="55">
        <v>1.35</v>
      </c>
      <c r="U251" s="31"/>
      <c r="V251" s="31"/>
      <c r="W251" s="38">
        <f>Table132[[#This Row],[Suma lab]]+Table132[[#This Row],[Q1]]+Table132[[#This Row],[Q2]]+MAX(Table132[[#This Row],[Partial]:[re2p]])+MAX(Table132[[#This Row],[Final]:[re2f]])</f>
        <v>3.6</v>
      </c>
      <c r="X251" s="70">
        <f>IF(Table132[[#This Row],[Total]]&gt;=9.5, 10, ROUND(Table132[[#This Row],[Total]],0))</f>
        <v>4</v>
      </c>
      <c r="Y251" s="28"/>
      <c r="Z251" s="28"/>
      <c r="AA251" s="65"/>
    </row>
    <row r="252" spans="1:27" ht="15.75" customHeight="1">
      <c r="A252" s="26">
        <v>25</v>
      </c>
      <c r="B252" s="32">
        <v>250</v>
      </c>
      <c r="C252" s="42">
        <v>30229</v>
      </c>
      <c r="D252" s="73" t="s">
        <v>321</v>
      </c>
      <c r="E252" s="26"/>
      <c r="F252" s="27" t="s">
        <v>68</v>
      </c>
      <c r="G252" s="28">
        <v>0.3</v>
      </c>
      <c r="H252" s="28">
        <v>0.55000000000000004</v>
      </c>
      <c r="I252" s="28">
        <v>0.2</v>
      </c>
      <c r="J252" s="28">
        <v>0.4</v>
      </c>
      <c r="K252" s="28">
        <v>0.2</v>
      </c>
      <c r="L252" s="28" t="s">
        <v>68</v>
      </c>
      <c r="M252" s="29">
        <f t="shared" si="3"/>
        <v>1.6500000000000001</v>
      </c>
      <c r="N252" s="74"/>
      <c r="O252" s="74"/>
      <c r="P252" s="30">
        <v>3.2</v>
      </c>
      <c r="Q252" s="54"/>
      <c r="R252" s="30"/>
      <c r="S252" s="30"/>
      <c r="T252" s="55">
        <v>5.6</v>
      </c>
      <c r="U252" s="31"/>
      <c r="V252" s="31"/>
      <c r="W252" s="38">
        <f>Table132[[#This Row],[Suma lab]]+Table132[[#This Row],[Q1]]+Table132[[#This Row],[Q2]]+MAX(Table132[[#This Row],[Partial]:[re2p]])+MAX(Table132[[#This Row],[Final]:[re2f]])</f>
        <v>10.45</v>
      </c>
      <c r="X252" s="70">
        <f>IF(Table132[[#This Row],[Total]]&gt;=9.5, 10, ROUND(Table132[[#This Row],[Total]],0))</f>
        <v>10</v>
      </c>
      <c r="Y252" s="28"/>
      <c r="Z252" s="28"/>
      <c r="AA252" s="65"/>
    </row>
    <row r="253" spans="1:27" ht="15.75" customHeight="1">
      <c r="A253" s="26">
        <v>26</v>
      </c>
      <c r="B253" s="32">
        <v>251</v>
      </c>
      <c r="C253" s="42">
        <v>30229</v>
      </c>
      <c r="D253" s="73" t="s">
        <v>322</v>
      </c>
      <c r="E253" s="26"/>
      <c r="F253" s="27" t="s">
        <v>68</v>
      </c>
      <c r="G253" s="28">
        <v>0.6</v>
      </c>
      <c r="H253" s="28">
        <v>0.4</v>
      </c>
      <c r="I253" s="28">
        <v>0.4</v>
      </c>
      <c r="J253" s="28">
        <v>0.2</v>
      </c>
      <c r="K253" s="28">
        <v>0.4</v>
      </c>
      <c r="L253" s="28" t="s">
        <v>68</v>
      </c>
      <c r="M253" s="29">
        <f t="shared" si="3"/>
        <v>2</v>
      </c>
      <c r="N253" s="74">
        <v>0.05</v>
      </c>
      <c r="O253" s="74">
        <v>0</v>
      </c>
      <c r="P253" s="30">
        <v>2</v>
      </c>
      <c r="Q253" s="54">
        <v>3.8</v>
      </c>
      <c r="R253" s="30"/>
      <c r="S253" s="30"/>
      <c r="T253" s="55">
        <v>5.6</v>
      </c>
      <c r="U253" s="31"/>
      <c r="V253" s="31"/>
      <c r="W253" s="38">
        <f>Table132[[#This Row],[Suma lab]]+Table132[[#This Row],[Q1]]+Table132[[#This Row],[Q2]]+MAX(Table132[[#This Row],[Partial]:[re2p]])+MAX(Table132[[#This Row],[Final]:[re2f]])</f>
        <v>11.45</v>
      </c>
      <c r="X253" s="70">
        <f>IF(Table132[[#This Row],[Total]]&gt;=9.5, 10, ROUND(Table132[[#This Row],[Total]],0))</f>
        <v>10</v>
      </c>
      <c r="Y253" s="28"/>
      <c r="Z253" s="28"/>
      <c r="AA253" s="65"/>
    </row>
    <row r="254" spans="1:27" ht="15.75" customHeight="1">
      <c r="A254" s="26">
        <v>27</v>
      </c>
      <c r="B254" s="32">
        <v>252</v>
      </c>
      <c r="C254" s="42">
        <v>30229</v>
      </c>
      <c r="D254" s="73" t="s">
        <v>323</v>
      </c>
      <c r="E254" s="26"/>
      <c r="F254" s="27" t="s">
        <v>68</v>
      </c>
      <c r="G254" s="28">
        <v>0.5</v>
      </c>
      <c r="H254" s="28">
        <v>0.6</v>
      </c>
      <c r="I254" s="28">
        <v>0.35</v>
      </c>
      <c r="J254" s="28">
        <v>0.4</v>
      </c>
      <c r="K254" s="28">
        <v>0.5</v>
      </c>
      <c r="L254" s="28" t="s">
        <v>68</v>
      </c>
      <c r="M254" s="29">
        <f t="shared" si="3"/>
        <v>2.35</v>
      </c>
      <c r="N254" s="74">
        <v>0.5</v>
      </c>
      <c r="O254" s="74">
        <v>0.15</v>
      </c>
      <c r="P254" s="30">
        <v>1.65</v>
      </c>
      <c r="Q254" s="54">
        <v>2.95</v>
      </c>
      <c r="R254" s="30"/>
      <c r="S254" s="30"/>
      <c r="T254" s="55">
        <v>5.3</v>
      </c>
      <c r="U254" s="31"/>
      <c r="V254" s="31"/>
      <c r="W254" s="38">
        <f>Table132[[#This Row],[Suma lab]]+Table132[[#This Row],[Q1]]+Table132[[#This Row],[Q2]]+MAX(Table132[[#This Row],[Partial]:[re2p]])+MAX(Table132[[#This Row],[Final]:[re2f]])</f>
        <v>11.25</v>
      </c>
      <c r="X254" s="70">
        <f>IF(Table132[[#This Row],[Total]]&gt;=9.5, 10, ROUND(Table132[[#This Row],[Total]],0))</f>
        <v>10</v>
      </c>
      <c r="Y254" s="28"/>
      <c r="Z254" s="28"/>
      <c r="AA254" s="65"/>
    </row>
    <row r="255" spans="1:27" ht="15.75" customHeight="1">
      <c r="A255" s="26">
        <v>28</v>
      </c>
      <c r="B255" s="32">
        <v>253</v>
      </c>
      <c r="C255" s="42">
        <v>30229</v>
      </c>
      <c r="D255" s="73" t="s">
        <v>324</v>
      </c>
      <c r="E255" s="26"/>
      <c r="F255" s="27" t="s">
        <v>68</v>
      </c>
      <c r="G255" s="28">
        <v>0.6</v>
      </c>
      <c r="H255" s="28">
        <v>0.3</v>
      </c>
      <c r="I255" s="28">
        <v>0</v>
      </c>
      <c r="J255" s="28">
        <v>0.4</v>
      </c>
      <c r="K255" s="28">
        <v>0.45</v>
      </c>
      <c r="L255" s="28" t="s">
        <v>68</v>
      </c>
      <c r="M255" s="29">
        <f t="shared" si="3"/>
        <v>1.7499999999999998</v>
      </c>
      <c r="N255" s="74"/>
      <c r="O255" s="74"/>
      <c r="P255" s="30">
        <v>0.6</v>
      </c>
      <c r="Q255" s="54">
        <v>2</v>
      </c>
      <c r="R255" s="30"/>
      <c r="S255" s="30"/>
      <c r="T255" s="55">
        <v>3.2</v>
      </c>
      <c r="U255" s="31"/>
      <c r="V255" s="31"/>
      <c r="W255" s="38">
        <f>Table132[[#This Row],[Suma lab]]+Table132[[#This Row],[Q1]]+Table132[[#This Row],[Q2]]+MAX(Table132[[#This Row],[Partial]:[re2p]])+MAX(Table132[[#This Row],[Final]:[re2f]])</f>
        <v>6.95</v>
      </c>
      <c r="X255" s="70">
        <f>IF(Table132[[#This Row],[Total]]&gt;=9.5, 10, ROUND(Table132[[#This Row],[Total]],0))</f>
        <v>7</v>
      </c>
      <c r="Y255" s="28"/>
      <c r="Z255" s="28"/>
      <c r="AA255" s="65"/>
    </row>
    <row r="256" spans="1:27" ht="15.75" customHeight="1">
      <c r="A256" s="26">
        <v>29</v>
      </c>
      <c r="B256" s="32">
        <v>254</v>
      </c>
      <c r="C256" s="42">
        <v>30229</v>
      </c>
      <c r="D256" s="73" t="s">
        <v>325</v>
      </c>
      <c r="E256" s="26"/>
      <c r="F256" s="27" t="s">
        <v>68</v>
      </c>
      <c r="G256" s="28">
        <v>0.15</v>
      </c>
      <c r="H256" s="28">
        <v>0.32</v>
      </c>
      <c r="I256" s="28" t="s">
        <v>68</v>
      </c>
      <c r="J256" s="28">
        <v>0</v>
      </c>
      <c r="K256" s="28">
        <v>0.4</v>
      </c>
      <c r="L256" s="28" t="s">
        <v>68</v>
      </c>
      <c r="M256" s="29">
        <f t="shared" si="3"/>
        <v>0.87</v>
      </c>
      <c r="N256" s="74"/>
      <c r="O256" s="74"/>
      <c r="P256" s="30">
        <v>0.35</v>
      </c>
      <c r="Q256" s="54">
        <v>1.35</v>
      </c>
      <c r="R256" s="30"/>
      <c r="S256" s="30"/>
      <c r="T256" s="55">
        <v>1.65</v>
      </c>
      <c r="U256" s="31"/>
      <c r="V256" s="31"/>
      <c r="W256" s="38">
        <f>Table132[[#This Row],[Suma lab]]+Table132[[#This Row],[Q1]]+Table132[[#This Row],[Q2]]+MAX(Table132[[#This Row],[Partial]:[re2p]])+MAX(Table132[[#This Row],[Final]:[re2f]])</f>
        <v>3.87</v>
      </c>
      <c r="X256" s="70">
        <f>IF(Table132[[#This Row],[Total]]&gt;=9.5, 10, ROUND(Table132[[#This Row],[Total]],0))</f>
        <v>4</v>
      </c>
      <c r="Y256" s="28"/>
      <c r="Z256" s="28"/>
      <c r="AA256" s="65"/>
    </row>
    <row r="257" spans="1:27" ht="15.75" customHeight="1">
      <c r="A257" s="26">
        <v>1</v>
      </c>
      <c r="B257" s="32">
        <v>255</v>
      </c>
      <c r="C257" s="46">
        <v>302210</v>
      </c>
      <c r="D257" s="73" t="s">
        <v>326</v>
      </c>
      <c r="E257" s="26" t="s">
        <v>33</v>
      </c>
      <c r="F257" s="27" t="s">
        <v>68</v>
      </c>
      <c r="G257" s="28">
        <v>0.2</v>
      </c>
      <c r="H257" s="28">
        <v>0.4</v>
      </c>
      <c r="I257" s="28">
        <v>0.4</v>
      </c>
      <c r="J257" s="28">
        <v>0.3</v>
      </c>
      <c r="K257" s="28">
        <v>0.25</v>
      </c>
      <c r="L257" s="28" t="s">
        <v>68</v>
      </c>
      <c r="M257" s="29">
        <f t="shared" si="3"/>
        <v>1.55</v>
      </c>
      <c r="N257" s="74">
        <v>0.35</v>
      </c>
      <c r="O257" s="74"/>
      <c r="P257" s="30">
        <v>0.9</v>
      </c>
      <c r="Q257" s="54">
        <v>1.65</v>
      </c>
      <c r="R257" s="30"/>
      <c r="S257" s="30"/>
      <c r="T257" s="55">
        <v>2.6</v>
      </c>
      <c r="U257" s="31"/>
      <c r="V257" s="31"/>
      <c r="W257" s="38">
        <f>Table132[[#This Row],[Suma lab]]+Table132[[#This Row],[Q1]]+Table132[[#This Row],[Q2]]+MAX(Table132[[#This Row],[Partial]:[re2p]])+MAX(Table132[[#This Row],[Final]:[re2f]])</f>
        <v>6.15</v>
      </c>
      <c r="X257" s="70">
        <f>IF(Table132[[#This Row],[Total]]&gt;=9.5, 10, ROUND(Table132[[#This Row],[Total]],0))</f>
        <v>6</v>
      </c>
      <c r="Y257" s="28"/>
      <c r="Z257" s="28"/>
      <c r="AA257" s="71"/>
    </row>
    <row r="258" spans="1:27" ht="15.75" customHeight="1">
      <c r="A258" s="26">
        <v>2</v>
      </c>
      <c r="B258" s="32">
        <v>256</v>
      </c>
      <c r="C258" s="46">
        <v>302210</v>
      </c>
      <c r="D258" s="73" t="s">
        <v>327</v>
      </c>
      <c r="E258" s="26" t="s">
        <v>33</v>
      </c>
      <c r="F258" s="27" t="s">
        <v>68</v>
      </c>
      <c r="G258" s="28">
        <v>0.6</v>
      </c>
      <c r="H258" s="28">
        <v>0.4</v>
      </c>
      <c r="I258" s="28">
        <v>0.4</v>
      </c>
      <c r="J258" s="28">
        <v>0</v>
      </c>
      <c r="K258" s="28">
        <v>0.2</v>
      </c>
      <c r="L258" s="28" t="s">
        <v>68</v>
      </c>
      <c r="M258" s="29">
        <f t="shared" si="3"/>
        <v>1.5999999999999999</v>
      </c>
      <c r="N258" s="74"/>
      <c r="O258" s="74"/>
      <c r="P258" s="30">
        <v>3.1</v>
      </c>
      <c r="Q258" s="54">
        <v>0</v>
      </c>
      <c r="R258" s="30"/>
      <c r="S258" s="30"/>
      <c r="T258" s="55">
        <v>4.05</v>
      </c>
      <c r="U258" s="31"/>
      <c r="V258" s="31"/>
      <c r="W258" s="38">
        <f>Table132[[#This Row],[Suma lab]]+Table132[[#This Row],[Q1]]+Table132[[#This Row],[Q2]]+MAX(Table132[[#This Row],[Partial]:[re2p]])+MAX(Table132[[#This Row],[Final]:[re2f]])</f>
        <v>8.75</v>
      </c>
      <c r="X258" s="70">
        <f>IF(Table132[[#This Row],[Total]]&gt;=9.5, 10, ROUND(Table132[[#This Row],[Total]],0))</f>
        <v>9</v>
      </c>
      <c r="Y258" s="28"/>
      <c r="Z258" s="28"/>
      <c r="AA258" s="71"/>
    </row>
    <row r="259" spans="1:27" ht="15.75" customHeight="1">
      <c r="A259" s="26">
        <v>3</v>
      </c>
      <c r="B259" s="32">
        <v>257</v>
      </c>
      <c r="C259" s="46">
        <v>302210</v>
      </c>
      <c r="D259" s="73" t="s">
        <v>328</v>
      </c>
      <c r="E259" s="26" t="s">
        <v>33</v>
      </c>
      <c r="F259" s="27" t="s">
        <v>68</v>
      </c>
      <c r="G259" s="28">
        <v>0.6</v>
      </c>
      <c r="H259" s="28">
        <v>0</v>
      </c>
      <c r="I259" s="28">
        <v>0.2</v>
      </c>
      <c r="J259" s="28">
        <v>0.2</v>
      </c>
      <c r="K259" s="28">
        <v>0.2</v>
      </c>
      <c r="L259" s="28" t="s">
        <v>68</v>
      </c>
      <c r="M259" s="29">
        <f t="shared" ref="M259:M301" si="4">SUM(G259:K259)</f>
        <v>1.2</v>
      </c>
      <c r="N259" s="74"/>
      <c r="O259" s="74">
        <v>0.1</v>
      </c>
      <c r="P259" s="30">
        <v>2.35</v>
      </c>
      <c r="Q259" s="54"/>
      <c r="R259" s="30"/>
      <c r="S259" s="30"/>
      <c r="T259" s="55">
        <v>4.2</v>
      </c>
      <c r="U259" s="31"/>
      <c r="V259" s="31"/>
      <c r="W259" s="38">
        <f>Table132[[#This Row],[Suma lab]]+Table132[[#This Row],[Q1]]+Table132[[#This Row],[Q2]]+MAX(Table132[[#This Row],[Partial]:[re2p]])+MAX(Table132[[#This Row],[Final]:[re2f]])</f>
        <v>7.8500000000000005</v>
      </c>
      <c r="X259" s="70">
        <f>IF(Table132[[#This Row],[Total]]&gt;=9.5, 10, ROUND(Table132[[#This Row],[Total]],0))</f>
        <v>8</v>
      </c>
      <c r="Y259" s="28"/>
      <c r="Z259" s="28"/>
      <c r="AA259" s="71"/>
    </row>
    <row r="260" spans="1:27" ht="15.75" customHeight="1">
      <c r="A260" s="26">
        <v>4</v>
      </c>
      <c r="B260" s="32">
        <v>258</v>
      </c>
      <c r="C260" s="46">
        <v>302210</v>
      </c>
      <c r="D260" s="73" t="s">
        <v>329</v>
      </c>
      <c r="E260" s="26" t="s">
        <v>32</v>
      </c>
      <c r="F260" s="27" t="s">
        <v>68</v>
      </c>
      <c r="G260" s="28">
        <v>0.6</v>
      </c>
      <c r="H260" s="28">
        <v>0.4</v>
      </c>
      <c r="I260" s="28">
        <v>0.4</v>
      </c>
      <c r="J260" s="28">
        <v>0</v>
      </c>
      <c r="K260" s="28">
        <v>0.6</v>
      </c>
      <c r="L260" s="28" t="s">
        <v>68</v>
      </c>
      <c r="M260" s="29">
        <f t="shared" si="4"/>
        <v>2</v>
      </c>
      <c r="N260" s="74">
        <v>0.2</v>
      </c>
      <c r="O260" s="74"/>
      <c r="P260" s="30">
        <v>2.4</v>
      </c>
      <c r="Q260" s="54">
        <v>0</v>
      </c>
      <c r="R260" s="30"/>
      <c r="S260" s="30"/>
      <c r="T260" s="55">
        <v>2.65</v>
      </c>
      <c r="U260" s="31"/>
      <c r="V260" s="31"/>
      <c r="W260" s="38">
        <f>Table132[[#This Row],[Suma lab]]+Table132[[#This Row],[Q1]]+Table132[[#This Row],[Q2]]+MAX(Table132[[#This Row],[Partial]:[re2p]])+MAX(Table132[[#This Row],[Final]:[re2f]])</f>
        <v>7.25</v>
      </c>
      <c r="X260" s="70">
        <f>IF(Table132[[#This Row],[Total]]&gt;=9.5, 10, ROUND(Table132[[#This Row],[Total]],0))</f>
        <v>7</v>
      </c>
      <c r="Y260" s="28"/>
      <c r="Z260" s="28"/>
      <c r="AA260" s="71"/>
    </row>
    <row r="261" spans="1:27" ht="15.75" customHeight="1">
      <c r="A261" s="26">
        <v>5</v>
      </c>
      <c r="B261" s="32">
        <v>259</v>
      </c>
      <c r="C261" s="46">
        <v>302210</v>
      </c>
      <c r="D261" s="73" t="s">
        <v>330</v>
      </c>
      <c r="E261" s="26" t="s">
        <v>33</v>
      </c>
      <c r="F261" s="27" t="s">
        <v>68</v>
      </c>
      <c r="G261" s="28">
        <v>0.6</v>
      </c>
      <c r="H261" s="28">
        <v>0.2</v>
      </c>
      <c r="I261" s="28">
        <v>0.2</v>
      </c>
      <c r="J261" s="28">
        <v>0.3</v>
      </c>
      <c r="K261" s="28">
        <v>0</v>
      </c>
      <c r="L261" s="28" t="s">
        <v>68</v>
      </c>
      <c r="M261" s="29">
        <f t="shared" si="4"/>
        <v>1.3</v>
      </c>
      <c r="N261" s="74"/>
      <c r="O261" s="74"/>
      <c r="P261" s="30">
        <v>3.9</v>
      </c>
      <c r="Q261" s="54">
        <v>0</v>
      </c>
      <c r="R261" s="30"/>
      <c r="S261" s="30"/>
      <c r="T261" s="55">
        <v>4.3</v>
      </c>
      <c r="U261" s="31"/>
      <c r="V261" s="31"/>
      <c r="W261" s="38">
        <f>Table132[[#This Row],[Suma lab]]+Table132[[#This Row],[Q1]]+Table132[[#This Row],[Q2]]+MAX(Table132[[#This Row],[Partial]:[re2p]])+MAX(Table132[[#This Row],[Final]:[re2f]])</f>
        <v>9.5</v>
      </c>
      <c r="X261" s="70">
        <f>IF(Table132[[#This Row],[Total]]&gt;=9.5, 10, ROUND(Table132[[#This Row],[Total]],0))</f>
        <v>10</v>
      </c>
      <c r="Y261" s="28"/>
      <c r="Z261" s="28"/>
      <c r="AA261" s="71"/>
    </row>
    <row r="262" spans="1:27" ht="15.75" customHeight="1">
      <c r="A262" s="26">
        <v>6</v>
      </c>
      <c r="B262" s="32">
        <v>260</v>
      </c>
      <c r="C262" s="46">
        <v>302210</v>
      </c>
      <c r="D262" s="73" t="s">
        <v>331</v>
      </c>
      <c r="E262" s="26"/>
      <c r="F262" s="27" t="s">
        <v>68</v>
      </c>
      <c r="G262" s="28"/>
      <c r="H262" s="28"/>
      <c r="I262" s="28"/>
      <c r="J262" s="28"/>
      <c r="K262" s="28"/>
      <c r="L262" s="28"/>
      <c r="M262" s="29">
        <f t="shared" si="4"/>
        <v>0</v>
      </c>
      <c r="N262" s="74"/>
      <c r="O262" s="74"/>
      <c r="P262" s="30"/>
      <c r="Q262" s="54"/>
      <c r="R262" s="30"/>
      <c r="S262" s="30"/>
      <c r="T262" s="55"/>
      <c r="U262" s="31"/>
      <c r="V262" s="31"/>
      <c r="W262" s="38">
        <f>Table132[[#This Row],[Suma lab]]+Table132[[#This Row],[Q1]]+Table132[[#This Row],[Q2]]+MAX(Table132[[#This Row],[Partial]:[re2p]])+MAX(Table132[[#This Row],[Final]:[re2f]])</f>
        <v>0</v>
      </c>
      <c r="X262" s="70">
        <f>IF(Table132[[#This Row],[Total]]&gt;=9.5, 10, ROUND(Table132[[#This Row],[Total]],0))</f>
        <v>0</v>
      </c>
      <c r="Y262" s="28"/>
      <c r="Z262" s="28"/>
      <c r="AA262" s="71" t="s">
        <v>332</v>
      </c>
    </row>
    <row r="263" spans="1:27" ht="15.75" customHeight="1">
      <c r="A263" s="26">
        <v>7</v>
      </c>
      <c r="B263" s="32">
        <v>261</v>
      </c>
      <c r="C263" s="46">
        <v>302210</v>
      </c>
      <c r="D263" s="73" t="s">
        <v>333</v>
      </c>
      <c r="E263" s="26" t="s">
        <v>33</v>
      </c>
      <c r="F263" s="27" t="s">
        <v>68</v>
      </c>
      <c r="G263" s="28">
        <v>0.6</v>
      </c>
      <c r="H263" s="28">
        <v>0.4</v>
      </c>
      <c r="I263" s="28">
        <v>0</v>
      </c>
      <c r="J263" s="28">
        <v>0.5</v>
      </c>
      <c r="K263" s="28">
        <v>0.55000000000000004</v>
      </c>
      <c r="L263" s="28" t="s">
        <v>68</v>
      </c>
      <c r="M263" s="29">
        <f t="shared" si="4"/>
        <v>2.0499999999999998</v>
      </c>
      <c r="N263" s="74"/>
      <c r="O263" s="74"/>
      <c r="P263" s="30">
        <v>1.25</v>
      </c>
      <c r="Q263" s="54">
        <v>3</v>
      </c>
      <c r="R263" s="30"/>
      <c r="S263" s="30"/>
      <c r="T263" s="55">
        <v>4.0999999999999996</v>
      </c>
      <c r="U263" s="31"/>
      <c r="V263" s="31"/>
      <c r="W263" s="38">
        <f>Table132[[#This Row],[Suma lab]]+Table132[[#This Row],[Q1]]+Table132[[#This Row],[Q2]]+MAX(Table132[[#This Row],[Partial]:[re2p]])+MAX(Table132[[#This Row],[Final]:[re2f]])</f>
        <v>9.1499999999999986</v>
      </c>
      <c r="X263" s="70">
        <f>IF(Table132[[#This Row],[Total]]&gt;=9.5, 10, ROUND(Table132[[#This Row],[Total]],0))</f>
        <v>9</v>
      </c>
      <c r="Y263" s="28"/>
      <c r="Z263" s="28"/>
      <c r="AA263" s="65"/>
    </row>
    <row r="264" spans="1:27" ht="15.75" customHeight="1">
      <c r="A264" s="26">
        <v>8</v>
      </c>
      <c r="B264" s="32">
        <v>262</v>
      </c>
      <c r="C264" s="46">
        <v>302210</v>
      </c>
      <c r="D264" s="73" t="s">
        <v>334</v>
      </c>
      <c r="E264" s="26" t="s">
        <v>33</v>
      </c>
      <c r="F264" s="27" t="s">
        <v>68</v>
      </c>
      <c r="G264" s="28">
        <v>0.6</v>
      </c>
      <c r="H264" s="28">
        <v>0.4</v>
      </c>
      <c r="I264" s="28">
        <v>0.4</v>
      </c>
      <c r="J264" s="28">
        <v>0</v>
      </c>
      <c r="K264" s="28">
        <v>0.2</v>
      </c>
      <c r="L264" s="28" t="s">
        <v>68</v>
      </c>
      <c r="M264" s="29">
        <f t="shared" si="4"/>
        <v>1.5999999999999999</v>
      </c>
      <c r="N264" s="74">
        <v>0</v>
      </c>
      <c r="O264" s="74"/>
      <c r="P264" s="30">
        <v>2.2000000000000002</v>
      </c>
      <c r="Q264" s="54">
        <v>0</v>
      </c>
      <c r="R264" s="30"/>
      <c r="S264" s="30"/>
      <c r="T264" s="55">
        <v>5.5</v>
      </c>
      <c r="U264" s="31"/>
      <c r="V264" s="31"/>
      <c r="W264" s="38">
        <f>Table132[[#This Row],[Suma lab]]+Table132[[#This Row],[Q1]]+Table132[[#This Row],[Q2]]+MAX(Table132[[#This Row],[Partial]:[re2p]])+MAX(Table132[[#This Row],[Final]:[re2f]])</f>
        <v>9.3000000000000007</v>
      </c>
      <c r="X264" s="70">
        <f>IF(Table132[[#This Row],[Total]]&gt;=9.5, 10, ROUND(Table132[[#This Row],[Total]],0))</f>
        <v>9</v>
      </c>
      <c r="Y264" s="28"/>
      <c r="Z264" s="28"/>
      <c r="AA264" s="65"/>
    </row>
    <row r="265" spans="1:27" ht="15.75" customHeight="1">
      <c r="A265" s="26">
        <v>9</v>
      </c>
      <c r="B265" s="32">
        <v>263</v>
      </c>
      <c r="C265" s="46">
        <v>302210</v>
      </c>
      <c r="D265" s="73" t="s">
        <v>335</v>
      </c>
      <c r="E265" s="26" t="s">
        <v>33</v>
      </c>
      <c r="F265" s="27" t="s">
        <v>68</v>
      </c>
      <c r="G265" s="28">
        <v>0.6</v>
      </c>
      <c r="H265" s="28">
        <v>0.3</v>
      </c>
      <c r="I265" s="28">
        <v>0</v>
      </c>
      <c r="J265" s="28">
        <v>0</v>
      </c>
      <c r="K265" s="28">
        <v>0.2</v>
      </c>
      <c r="L265" s="28" t="s">
        <v>68</v>
      </c>
      <c r="M265" s="29">
        <f t="shared" si="4"/>
        <v>1.0999999999999999</v>
      </c>
      <c r="N265" s="74"/>
      <c r="O265" s="74">
        <v>0.15</v>
      </c>
      <c r="P265" s="30">
        <v>1.3</v>
      </c>
      <c r="Q265" s="54">
        <v>0</v>
      </c>
      <c r="R265" s="30"/>
      <c r="S265" s="30"/>
      <c r="T265" s="55">
        <v>2.8</v>
      </c>
      <c r="U265" s="31"/>
      <c r="V265" s="31"/>
      <c r="W265" s="38">
        <f>Table132[[#This Row],[Suma lab]]+Table132[[#This Row],[Q1]]+Table132[[#This Row],[Q2]]+MAX(Table132[[#This Row],[Partial]:[re2p]])+MAX(Table132[[#This Row],[Final]:[re2f]])</f>
        <v>5.35</v>
      </c>
      <c r="X265" s="70">
        <f>IF(Table132[[#This Row],[Total]]&gt;=9.5, 10, ROUND(Table132[[#This Row],[Total]],0))</f>
        <v>5</v>
      </c>
      <c r="Y265" s="28"/>
      <c r="Z265" s="28"/>
      <c r="AA265" s="65"/>
    </row>
    <row r="266" spans="1:27" ht="15.75" customHeight="1">
      <c r="A266" s="26">
        <v>10</v>
      </c>
      <c r="B266" s="32">
        <v>264</v>
      </c>
      <c r="C266" s="46">
        <v>302210</v>
      </c>
      <c r="D266" s="73" t="s">
        <v>336</v>
      </c>
      <c r="E266" s="26" t="s">
        <v>33</v>
      </c>
      <c r="F266" s="27" t="s">
        <v>68</v>
      </c>
      <c r="G266" s="28">
        <v>0.4</v>
      </c>
      <c r="H266" s="28">
        <v>0.2</v>
      </c>
      <c r="I266" s="28">
        <v>0.2</v>
      </c>
      <c r="J266" s="28" t="s">
        <v>77</v>
      </c>
      <c r="K266" s="28">
        <v>0</v>
      </c>
      <c r="L266" s="28" t="s">
        <v>68</v>
      </c>
      <c r="M266" s="29">
        <f t="shared" si="4"/>
        <v>0.8</v>
      </c>
      <c r="N266" s="74">
        <v>0.5</v>
      </c>
      <c r="O266" s="74"/>
      <c r="P266" s="30">
        <v>0.3</v>
      </c>
      <c r="Q266" s="54">
        <v>0.4</v>
      </c>
      <c r="R266" s="30"/>
      <c r="S266" s="30"/>
      <c r="T266" s="55">
        <v>4.55</v>
      </c>
      <c r="U266" s="31"/>
      <c r="V266" s="31"/>
      <c r="W266" s="38">
        <f>Table132[[#This Row],[Suma lab]]+Table132[[#This Row],[Q1]]+Table132[[#This Row],[Q2]]+MAX(Table132[[#This Row],[Partial]:[re2p]])+MAX(Table132[[#This Row],[Final]:[re2f]])</f>
        <v>6.25</v>
      </c>
      <c r="X266" s="70">
        <f>IF(Table132[[#This Row],[Total]]&gt;=9.5, 10, ROUND(Table132[[#This Row],[Total]],0))</f>
        <v>6</v>
      </c>
      <c r="Y266" s="28"/>
      <c r="Z266" s="28"/>
      <c r="AA266" s="65"/>
    </row>
    <row r="267" spans="1:27" ht="15.75" customHeight="1">
      <c r="A267" s="26">
        <v>11</v>
      </c>
      <c r="B267" s="32">
        <v>265</v>
      </c>
      <c r="C267" s="46">
        <v>302210</v>
      </c>
      <c r="D267" s="73" t="s">
        <v>337</v>
      </c>
      <c r="E267" s="26" t="s">
        <v>33</v>
      </c>
      <c r="F267" s="27" t="s">
        <v>68</v>
      </c>
      <c r="G267" s="28">
        <v>0.6</v>
      </c>
      <c r="H267" s="28">
        <v>0</v>
      </c>
      <c r="I267" s="28">
        <v>0</v>
      </c>
      <c r="J267" s="28">
        <v>0.2</v>
      </c>
      <c r="K267" s="28">
        <v>0.2</v>
      </c>
      <c r="L267" s="28" t="s">
        <v>68</v>
      </c>
      <c r="M267" s="29">
        <f t="shared" si="4"/>
        <v>1</v>
      </c>
      <c r="N267" s="74"/>
      <c r="O267" s="74">
        <v>0.1</v>
      </c>
      <c r="P267" s="30">
        <v>0.2</v>
      </c>
      <c r="Q267" s="54">
        <v>2.15</v>
      </c>
      <c r="R267" s="30"/>
      <c r="S267" s="30"/>
      <c r="T267" s="55">
        <v>2.2000000000000002</v>
      </c>
      <c r="U267" s="31"/>
      <c r="V267" s="31"/>
      <c r="W267" s="38">
        <f>Table132[[#This Row],[Suma lab]]+Table132[[#This Row],[Q1]]+Table132[[#This Row],[Q2]]+MAX(Table132[[#This Row],[Partial]:[re2p]])+MAX(Table132[[#This Row],[Final]:[re2f]])</f>
        <v>5.45</v>
      </c>
      <c r="X267" s="70">
        <f>IF(Table132[[#This Row],[Total]]&gt;=9.5, 10, ROUND(Table132[[#This Row],[Total]],0))</f>
        <v>5</v>
      </c>
      <c r="Y267" s="28"/>
      <c r="Z267" s="28"/>
      <c r="AA267" s="65"/>
    </row>
    <row r="268" spans="1:27" ht="15.75" customHeight="1">
      <c r="A268" s="26">
        <v>12</v>
      </c>
      <c r="B268" s="32">
        <v>266</v>
      </c>
      <c r="C268" s="46">
        <v>302210</v>
      </c>
      <c r="D268" s="73" t="s">
        <v>338</v>
      </c>
      <c r="E268" s="26" t="s">
        <v>33</v>
      </c>
      <c r="F268" s="27" t="s">
        <v>68</v>
      </c>
      <c r="G268" s="28">
        <v>0.6</v>
      </c>
      <c r="H268" s="28">
        <v>0.4</v>
      </c>
      <c r="I268" s="28">
        <v>0</v>
      </c>
      <c r="J268" s="28">
        <v>0.1</v>
      </c>
      <c r="K268" s="28">
        <v>0.2</v>
      </c>
      <c r="L268" s="28" t="s">
        <v>68</v>
      </c>
      <c r="M268" s="29">
        <f t="shared" si="4"/>
        <v>1.3</v>
      </c>
      <c r="N268" s="74"/>
      <c r="O268" s="74">
        <v>0.5</v>
      </c>
      <c r="P268" s="30">
        <v>3</v>
      </c>
      <c r="Q268" s="54">
        <v>0</v>
      </c>
      <c r="R268" s="30"/>
      <c r="S268" s="30"/>
      <c r="T268" s="55">
        <v>5.8</v>
      </c>
      <c r="U268" s="31"/>
      <c r="V268" s="31"/>
      <c r="W268" s="38">
        <f>Table132[[#This Row],[Suma lab]]+Table132[[#This Row],[Q1]]+Table132[[#This Row],[Q2]]+MAX(Table132[[#This Row],[Partial]:[re2p]])+MAX(Table132[[#This Row],[Final]:[re2f]])</f>
        <v>10.6</v>
      </c>
      <c r="X268" s="70">
        <f>IF(Table132[[#This Row],[Total]]&gt;=9.5, 10, ROUND(Table132[[#This Row],[Total]],0))</f>
        <v>10</v>
      </c>
      <c r="Y268" s="28"/>
      <c r="Z268" s="28"/>
      <c r="AA268" s="65"/>
    </row>
    <row r="269" spans="1:27" ht="15.75" customHeight="1">
      <c r="A269" s="26">
        <v>13</v>
      </c>
      <c r="B269" s="32">
        <v>267</v>
      </c>
      <c r="C269" s="46">
        <v>302210</v>
      </c>
      <c r="D269" s="73" t="s">
        <v>339</v>
      </c>
      <c r="E269" s="26" t="s">
        <v>33</v>
      </c>
      <c r="F269" s="27" t="s">
        <v>68</v>
      </c>
      <c r="G269" s="28">
        <v>0.6</v>
      </c>
      <c r="H269" s="28">
        <v>0.5</v>
      </c>
      <c r="I269" s="28">
        <v>0.6</v>
      </c>
      <c r="J269" s="28">
        <v>0</v>
      </c>
      <c r="K269" s="28">
        <v>0.25</v>
      </c>
      <c r="L269" s="28" t="s">
        <v>68</v>
      </c>
      <c r="M269" s="29">
        <f t="shared" si="4"/>
        <v>1.9500000000000002</v>
      </c>
      <c r="N269" s="74">
        <v>0.4</v>
      </c>
      <c r="O269" s="74">
        <v>0.2</v>
      </c>
      <c r="P269" s="30">
        <v>0.2</v>
      </c>
      <c r="Q269" s="54">
        <v>1.5</v>
      </c>
      <c r="R269" s="30"/>
      <c r="S269" s="30"/>
      <c r="T269" s="55">
        <v>2.4</v>
      </c>
      <c r="U269" s="31"/>
      <c r="V269" s="31"/>
      <c r="W269" s="38">
        <f>Table132[[#This Row],[Suma lab]]+Table132[[#This Row],[Q1]]+Table132[[#This Row],[Q2]]+MAX(Table132[[#This Row],[Partial]:[re2p]])+MAX(Table132[[#This Row],[Final]:[re2f]])</f>
        <v>6.4500000000000011</v>
      </c>
      <c r="X269" s="70">
        <f>IF(Table132[[#This Row],[Total]]&gt;=9.5, 10, ROUND(Table132[[#This Row],[Total]],0))</f>
        <v>6</v>
      </c>
      <c r="Y269" s="28"/>
      <c r="Z269" s="28"/>
      <c r="AA269" s="65"/>
    </row>
    <row r="270" spans="1:27" ht="15.75" customHeight="1">
      <c r="A270" s="26">
        <v>14</v>
      </c>
      <c r="B270" s="32">
        <v>268</v>
      </c>
      <c r="C270" s="46">
        <v>302210</v>
      </c>
      <c r="D270" s="73" t="s">
        <v>340</v>
      </c>
      <c r="E270" s="26"/>
      <c r="F270" s="27" t="s">
        <v>68</v>
      </c>
      <c r="G270" s="28">
        <v>0.6</v>
      </c>
      <c r="H270" s="28">
        <v>0.6</v>
      </c>
      <c r="I270" s="28">
        <v>0.4</v>
      </c>
      <c r="J270" s="28">
        <v>0.2</v>
      </c>
      <c r="K270" s="28">
        <v>0.3</v>
      </c>
      <c r="L270" s="28" t="s">
        <v>68</v>
      </c>
      <c r="M270" s="29">
        <f t="shared" si="4"/>
        <v>2.1</v>
      </c>
      <c r="N270" s="74"/>
      <c r="O270" s="74"/>
      <c r="P270" s="30">
        <v>2.7</v>
      </c>
      <c r="Q270" s="54"/>
      <c r="R270" s="30"/>
      <c r="S270" s="30"/>
      <c r="T270" s="55">
        <v>5.7</v>
      </c>
      <c r="U270" s="31"/>
      <c r="V270" s="31"/>
      <c r="W270" s="38">
        <f>Table132[[#This Row],[Suma lab]]+Table132[[#This Row],[Q1]]+Table132[[#This Row],[Q2]]+MAX(Table132[[#This Row],[Partial]:[re2p]])+MAX(Table132[[#This Row],[Final]:[re2f]])</f>
        <v>10.5</v>
      </c>
      <c r="X270" s="70">
        <f>IF(Table132[[#This Row],[Total]]&gt;=9.5, 10, ROUND(Table132[[#This Row],[Total]],0))</f>
        <v>10</v>
      </c>
      <c r="Y270" s="28"/>
      <c r="Z270" s="28"/>
      <c r="AA270" s="65"/>
    </row>
    <row r="271" spans="1:27" ht="15.75" customHeight="1">
      <c r="A271" s="26">
        <v>15</v>
      </c>
      <c r="B271" s="32">
        <v>269</v>
      </c>
      <c r="C271" s="46">
        <v>302210</v>
      </c>
      <c r="D271" s="73" t="s">
        <v>341</v>
      </c>
      <c r="E271" s="26" t="s">
        <v>33</v>
      </c>
      <c r="F271" s="27" t="s">
        <v>68</v>
      </c>
      <c r="G271" s="28">
        <v>0</v>
      </c>
      <c r="H271" s="28">
        <v>0.4</v>
      </c>
      <c r="I271" s="28">
        <v>0.2</v>
      </c>
      <c r="J271" s="28">
        <v>0.2</v>
      </c>
      <c r="K271" s="28">
        <v>0.5</v>
      </c>
      <c r="L271" s="28" t="s">
        <v>68</v>
      </c>
      <c r="M271" s="29">
        <f t="shared" si="4"/>
        <v>1.3</v>
      </c>
      <c r="N271" s="74">
        <v>0.5</v>
      </c>
      <c r="O271" s="74"/>
      <c r="P271" s="30">
        <v>2.7</v>
      </c>
      <c r="Q271" s="54">
        <v>0</v>
      </c>
      <c r="R271" s="30"/>
      <c r="S271" s="30"/>
      <c r="T271" s="55">
        <v>1</v>
      </c>
      <c r="U271" s="31"/>
      <c r="V271" s="31"/>
      <c r="W271" s="38">
        <f>Table132[[#This Row],[Suma lab]]+Table132[[#This Row],[Q1]]+Table132[[#This Row],[Q2]]+MAX(Table132[[#This Row],[Partial]:[re2p]])+MAX(Table132[[#This Row],[Final]:[re2f]])</f>
        <v>5.5</v>
      </c>
      <c r="X271" s="70">
        <f>IF(Table132[[#This Row],[Total]]&gt;=9.5, 10, ROUND(Table132[[#This Row],[Total]],0))</f>
        <v>6</v>
      </c>
      <c r="Y271" s="28"/>
      <c r="Z271" s="28"/>
      <c r="AA271" s="65"/>
    </row>
    <row r="272" spans="1:27" ht="15.75" customHeight="1">
      <c r="A272" s="26">
        <v>16</v>
      </c>
      <c r="B272" s="32">
        <v>270</v>
      </c>
      <c r="C272" s="46">
        <v>302210</v>
      </c>
      <c r="D272" s="73" t="s">
        <v>342</v>
      </c>
      <c r="E272" s="26" t="s">
        <v>33</v>
      </c>
      <c r="F272" s="27" t="s">
        <v>68</v>
      </c>
      <c r="G272" s="28">
        <v>0.6</v>
      </c>
      <c r="H272" s="28">
        <v>0.4</v>
      </c>
      <c r="I272" s="28">
        <v>0.1</v>
      </c>
      <c r="J272" s="28">
        <v>0.3</v>
      </c>
      <c r="K272" s="28">
        <v>0.3</v>
      </c>
      <c r="L272" s="28" t="s">
        <v>68</v>
      </c>
      <c r="M272" s="29">
        <f t="shared" si="4"/>
        <v>1.7000000000000002</v>
      </c>
      <c r="N272" s="74">
        <v>0.1</v>
      </c>
      <c r="O272" s="74">
        <v>0.3</v>
      </c>
      <c r="P272" s="30">
        <v>2.5499999999999998</v>
      </c>
      <c r="Q272" s="54">
        <v>0</v>
      </c>
      <c r="R272" s="30"/>
      <c r="S272" s="30"/>
      <c r="T272" s="55">
        <v>3.05</v>
      </c>
      <c r="U272" s="31"/>
      <c r="V272" s="31"/>
      <c r="W272" s="38">
        <f>Table132[[#This Row],[Suma lab]]+Table132[[#This Row],[Q1]]+Table132[[#This Row],[Q2]]+MAX(Table132[[#This Row],[Partial]:[re2p]])+MAX(Table132[[#This Row],[Final]:[re2f]])</f>
        <v>7.7</v>
      </c>
      <c r="X272" s="70">
        <f>IF(Table132[[#This Row],[Total]]&gt;=9.5, 10, ROUND(Table132[[#This Row],[Total]],0))</f>
        <v>8</v>
      </c>
      <c r="Y272" s="28"/>
      <c r="Z272" s="28"/>
      <c r="AA272" s="65"/>
    </row>
    <row r="273" spans="1:27" ht="15.75" customHeight="1">
      <c r="A273" s="26">
        <v>17</v>
      </c>
      <c r="B273" s="32">
        <v>271</v>
      </c>
      <c r="C273" s="46">
        <v>302210</v>
      </c>
      <c r="D273" s="73" t="s">
        <v>343</v>
      </c>
      <c r="E273" s="26" t="s">
        <v>32</v>
      </c>
      <c r="F273" s="27" t="s">
        <v>68</v>
      </c>
      <c r="G273" s="28">
        <v>0</v>
      </c>
      <c r="H273" s="28">
        <v>0.45</v>
      </c>
      <c r="I273" s="28">
        <v>0.05</v>
      </c>
      <c r="J273" s="28">
        <v>0.3</v>
      </c>
      <c r="K273" s="28">
        <v>0.45</v>
      </c>
      <c r="L273" s="28" t="s">
        <v>68</v>
      </c>
      <c r="M273" s="29">
        <f t="shared" si="4"/>
        <v>1.25</v>
      </c>
      <c r="N273" s="74"/>
      <c r="O273" s="74"/>
      <c r="P273" s="30">
        <v>2.1</v>
      </c>
      <c r="Q273" s="54">
        <v>2.6</v>
      </c>
      <c r="R273" s="30"/>
      <c r="S273" s="30"/>
      <c r="T273" s="55">
        <v>4.8</v>
      </c>
      <c r="U273" s="31"/>
      <c r="V273" s="31"/>
      <c r="W273" s="38">
        <f>Table132[[#This Row],[Suma lab]]+Table132[[#This Row],[Q1]]+Table132[[#This Row],[Q2]]+MAX(Table132[[#This Row],[Partial]:[re2p]])+MAX(Table132[[#This Row],[Final]:[re2f]])</f>
        <v>8.65</v>
      </c>
      <c r="X273" s="70">
        <f>IF(Table132[[#This Row],[Total]]&gt;=9.5, 10, ROUND(Table132[[#This Row],[Total]],0))</f>
        <v>9</v>
      </c>
      <c r="Y273" s="28"/>
      <c r="Z273" s="28"/>
      <c r="AA273" s="65"/>
    </row>
    <row r="274" spans="1:27" ht="15.75" customHeight="1">
      <c r="A274" s="26">
        <v>18</v>
      </c>
      <c r="B274" s="32">
        <v>272</v>
      </c>
      <c r="C274" s="46">
        <v>302210</v>
      </c>
      <c r="D274" s="73" t="s">
        <v>344</v>
      </c>
      <c r="E274" s="26" t="s">
        <v>32</v>
      </c>
      <c r="F274" s="27" t="s">
        <v>68</v>
      </c>
      <c r="G274" s="28">
        <v>0.45</v>
      </c>
      <c r="H274" s="28">
        <v>0.5</v>
      </c>
      <c r="I274" s="28">
        <v>0.3</v>
      </c>
      <c r="J274" s="28">
        <v>0.1</v>
      </c>
      <c r="K274" s="28">
        <v>0.1</v>
      </c>
      <c r="L274" s="28" t="s">
        <v>68</v>
      </c>
      <c r="M274" s="29">
        <f t="shared" si="4"/>
        <v>1.4500000000000002</v>
      </c>
      <c r="N274" s="74"/>
      <c r="O274" s="74"/>
      <c r="P274" s="30">
        <v>0</v>
      </c>
      <c r="Q274" s="54">
        <v>0</v>
      </c>
      <c r="R274" s="30"/>
      <c r="S274" s="30"/>
      <c r="T274" s="55">
        <v>0.7</v>
      </c>
      <c r="U274" s="31"/>
      <c r="V274" s="31"/>
      <c r="W274" s="38">
        <f>Table132[[#This Row],[Suma lab]]+Table132[[#This Row],[Q1]]+Table132[[#This Row],[Q2]]+MAX(Table132[[#This Row],[Partial]:[re2p]])+MAX(Table132[[#This Row],[Final]:[re2f]])</f>
        <v>2.1500000000000004</v>
      </c>
      <c r="X274" s="70">
        <f>IF(Table132[[#This Row],[Total]]&gt;=9.5, 10, ROUND(Table132[[#This Row],[Total]],0))</f>
        <v>2</v>
      </c>
      <c r="Y274" s="28"/>
      <c r="Z274" s="28"/>
      <c r="AA274" s="65"/>
    </row>
    <row r="275" spans="1:27" ht="15.75" customHeight="1">
      <c r="A275" s="26">
        <v>19</v>
      </c>
      <c r="B275" s="32">
        <v>273</v>
      </c>
      <c r="C275" s="46">
        <v>302210</v>
      </c>
      <c r="D275" s="73" t="s">
        <v>345</v>
      </c>
      <c r="E275" s="26" t="s">
        <v>32</v>
      </c>
      <c r="F275" s="27" t="s">
        <v>68</v>
      </c>
      <c r="G275" s="28">
        <v>0.6</v>
      </c>
      <c r="H275" s="28">
        <v>0</v>
      </c>
      <c r="I275" s="28">
        <v>0.125</v>
      </c>
      <c r="J275" s="28">
        <v>0.4</v>
      </c>
      <c r="K275" s="28">
        <v>0.4</v>
      </c>
      <c r="L275" s="28" t="s">
        <v>68</v>
      </c>
      <c r="M275" s="29">
        <f t="shared" si="4"/>
        <v>1.5249999999999999</v>
      </c>
      <c r="N275" s="74">
        <v>0.2</v>
      </c>
      <c r="O275" s="74"/>
      <c r="P275" s="30">
        <v>2.5</v>
      </c>
      <c r="Q275" s="54"/>
      <c r="R275" s="30"/>
      <c r="S275" s="30"/>
      <c r="T275" s="55"/>
      <c r="U275" s="31"/>
      <c r="V275" s="31"/>
      <c r="W275" s="38">
        <f>Table132[[#This Row],[Suma lab]]+Table132[[#This Row],[Q1]]+Table132[[#This Row],[Q2]]+MAX(Table132[[#This Row],[Partial]:[re2p]])+MAX(Table132[[#This Row],[Final]:[re2f]])</f>
        <v>4.2249999999999996</v>
      </c>
      <c r="X275" s="70" t="s">
        <v>3</v>
      </c>
      <c r="Y275" s="28"/>
      <c r="Z275" s="28"/>
      <c r="AA275" s="65"/>
    </row>
    <row r="276" spans="1:27" ht="15.75" customHeight="1">
      <c r="A276" s="26">
        <v>20</v>
      </c>
      <c r="B276" s="32">
        <v>274</v>
      </c>
      <c r="C276" s="46">
        <v>302210</v>
      </c>
      <c r="D276" s="73" t="s">
        <v>346</v>
      </c>
      <c r="E276" s="26" t="s">
        <v>32</v>
      </c>
      <c r="F276" s="27" t="s">
        <v>68</v>
      </c>
      <c r="G276" s="28">
        <v>0.4</v>
      </c>
      <c r="H276" s="28">
        <v>0.1</v>
      </c>
      <c r="I276" s="28">
        <v>0</v>
      </c>
      <c r="J276" s="28">
        <v>0.6</v>
      </c>
      <c r="K276" s="28" t="s">
        <v>77</v>
      </c>
      <c r="L276" s="28" t="s">
        <v>68</v>
      </c>
      <c r="M276" s="29">
        <f t="shared" si="4"/>
        <v>1.1000000000000001</v>
      </c>
      <c r="N276" s="74"/>
      <c r="O276" s="74"/>
      <c r="P276" s="30">
        <v>0.8</v>
      </c>
      <c r="Q276" s="54">
        <v>0</v>
      </c>
      <c r="R276" s="30"/>
      <c r="S276" s="30"/>
      <c r="T276" s="55">
        <v>4.8499999999999996</v>
      </c>
      <c r="U276" s="31"/>
      <c r="V276" s="31"/>
      <c r="W276" s="38">
        <f>Table132[[#This Row],[Suma lab]]+Table132[[#This Row],[Q1]]+Table132[[#This Row],[Q2]]+MAX(Table132[[#This Row],[Partial]:[re2p]])+MAX(Table132[[#This Row],[Final]:[re2f]])</f>
        <v>6.75</v>
      </c>
      <c r="X276" s="70">
        <f>IF(Table132[[#This Row],[Total]]&gt;=9.5, 10, ROUND(Table132[[#This Row],[Total]],0))</f>
        <v>7</v>
      </c>
      <c r="Y276" s="28"/>
      <c r="Z276" s="28"/>
      <c r="AA276" s="65"/>
    </row>
    <row r="277" spans="1:27" ht="15.75" customHeight="1">
      <c r="A277" s="26">
        <v>21</v>
      </c>
      <c r="B277" s="32">
        <v>275</v>
      </c>
      <c r="C277" s="46">
        <v>302210</v>
      </c>
      <c r="D277" s="73" t="s">
        <v>347</v>
      </c>
      <c r="E277" s="26" t="s">
        <v>32</v>
      </c>
      <c r="F277" s="27" t="s">
        <v>68</v>
      </c>
      <c r="G277" s="28">
        <v>0.6</v>
      </c>
      <c r="H277" s="28">
        <v>0.2</v>
      </c>
      <c r="I277" s="28">
        <v>0.3</v>
      </c>
      <c r="J277" s="28">
        <v>0.6</v>
      </c>
      <c r="K277" s="28">
        <v>0.3</v>
      </c>
      <c r="L277" s="28" t="s">
        <v>68</v>
      </c>
      <c r="M277" s="29">
        <f t="shared" si="4"/>
        <v>2</v>
      </c>
      <c r="N277" s="74"/>
      <c r="O277" s="74"/>
      <c r="P277" s="30">
        <v>3.6</v>
      </c>
      <c r="Q277" s="54"/>
      <c r="R277" s="30"/>
      <c r="S277" s="30"/>
      <c r="T277" s="55">
        <v>4.4000000000000004</v>
      </c>
      <c r="U277" s="31"/>
      <c r="V277" s="31"/>
      <c r="W277" s="38">
        <f>Table132[[#This Row],[Suma lab]]+Table132[[#This Row],[Q1]]+Table132[[#This Row],[Q2]]+MAX(Table132[[#This Row],[Partial]:[re2p]])+MAX(Table132[[#This Row],[Final]:[re2f]])</f>
        <v>10</v>
      </c>
      <c r="X277" s="70">
        <f>IF(Table132[[#This Row],[Total]]&gt;=9.5, 10, ROUND(Table132[[#This Row],[Total]],0))</f>
        <v>10</v>
      </c>
      <c r="Y277" s="28"/>
      <c r="Z277" s="28"/>
      <c r="AA277" s="65"/>
    </row>
    <row r="278" spans="1:27" ht="15.75" customHeight="1">
      <c r="A278" s="26">
        <v>22</v>
      </c>
      <c r="B278" s="32">
        <v>276</v>
      </c>
      <c r="C278" s="46">
        <v>302210</v>
      </c>
      <c r="D278" s="73" t="s">
        <v>348</v>
      </c>
      <c r="E278" s="26" t="s">
        <v>32</v>
      </c>
      <c r="F278" s="27" t="s">
        <v>68</v>
      </c>
      <c r="G278" s="28">
        <v>0.4</v>
      </c>
      <c r="H278" s="28">
        <v>0.2</v>
      </c>
      <c r="I278" s="28">
        <v>0.42</v>
      </c>
      <c r="J278" s="28">
        <v>0.6</v>
      </c>
      <c r="K278" s="28">
        <v>0.4</v>
      </c>
      <c r="L278" s="28" t="s">
        <v>68</v>
      </c>
      <c r="M278" s="29">
        <f t="shared" si="4"/>
        <v>2.02</v>
      </c>
      <c r="N278" s="74"/>
      <c r="O278" s="74">
        <v>0.5</v>
      </c>
      <c r="P278" s="30">
        <v>1.1000000000000001</v>
      </c>
      <c r="Q278" s="54">
        <v>1.75</v>
      </c>
      <c r="R278" s="30"/>
      <c r="S278" s="30"/>
      <c r="T278" s="55">
        <v>3.7</v>
      </c>
      <c r="U278" s="31"/>
      <c r="V278" s="31"/>
      <c r="W278" s="38">
        <f>Table132[[#This Row],[Suma lab]]+Table132[[#This Row],[Q1]]+Table132[[#This Row],[Q2]]+MAX(Table132[[#This Row],[Partial]:[re2p]])+MAX(Table132[[#This Row],[Final]:[re2f]])</f>
        <v>7.97</v>
      </c>
      <c r="X278" s="70">
        <f>IF(Table132[[#This Row],[Total]]&gt;=9.5, 10, ROUND(Table132[[#This Row],[Total]],0))</f>
        <v>8</v>
      </c>
      <c r="Y278" s="28"/>
      <c r="Z278" s="28"/>
      <c r="AA278" s="65"/>
    </row>
    <row r="279" spans="1:27" ht="15.75" customHeight="1">
      <c r="A279" s="26">
        <v>23</v>
      </c>
      <c r="B279" s="32">
        <v>277</v>
      </c>
      <c r="C279" s="46">
        <v>302210</v>
      </c>
      <c r="D279" s="73" t="s">
        <v>349</v>
      </c>
      <c r="E279" s="26" t="s">
        <v>32</v>
      </c>
      <c r="F279" s="27" t="s">
        <v>68</v>
      </c>
      <c r="G279" s="28">
        <v>0.4</v>
      </c>
      <c r="H279" s="28">
        <v>0.3</v>
      </c>
      <c r="I279" s="28">
        <v>0.32</v>
      </c>
      <c r="J279" s="28">
        <v>0.1</v>
      </c>
      <c r="K279" s="28">
        <v>0.4</v>
      </c>
      <c r="L279" s="28" t="s">
        <v>68</v>
      </c>
      <c r="M279" s="29">
        <f t="shared" si="4"/>
        <v>1.52</v>
      </c>
      <c r="N279" s="74">
        <v>0.05</v>
      </c>
      <c r="O279" s="74"/>
      <c r="P279" s="30">
        <v>1.2</v>
      </c>
      <c r="Q279" s="54"/>
      <c r="R279" s="30"/>
      <c r="S279" s="30"/>
      <c r="T279" s="55">
        <v>3.5</v>
      </c>
      <c r="U279" s="31"/>
      <c r="V279" s="31"/>
      <c r="W279" s="38">
        <f>Table132[[#This Row],[Suma lab]]+Table132[[#This Row],[Q1]]+Table132[[#This Row],[Q2]]+MAX(Table132[[#This Row],[Partial]:[re2p]])+MAX(Table132[[#This Row],[Final]:[re2f]])</f>
        <v>6.27</v>
      </c>
      <c r="X279" s="70">
        <f>IF(Table132[[#This Row],[Total]]&gt;=9.5, 10, ROUND(Table132[[#This Row],[Total]],0))</f>
        <v>6</v>
      </c>
      <c r="Y279" s="28"/>
      <c r="Z279" s="28"/>
      <c r="AA279" s="65"/>
    </row>
    <row r="280" spans="1:27" ht="15.75" customHeight="1">
      <c r="A280" s="26">
        <v>24</v>
      </c>
      <c r="B280" s="32">
        <v>278</v>
      </c>
      <c r="C280" s="46">
        <v>302210</v>
      </c>
      <c r="D280" s="73" t="s">
        <v>350</v>
      </c>
      <c r="E280" s="26" t="s">
        <v>32</v>
      </c>
      <c r="F280" s="33" t="s">
        <v>68</v>
      </c>
      <c r="G280" s="34">
        <v>0.4</v>
      </c>
      <c r="H280" s="34">
        <v>0.3</v>
      </c>
      <c r="I280" s="34">
        <v>0.2</v>
      </c>
      <c r="J280" s="34">
        <v>0.2</v>
      </c>
      <c r="K280" s="34">
        <v>0.35</v>
      </c>
      <c r="L280" s="28" t="s">
        <v>68</v>
      </c>
      <c r="M280" s="35">
        <f t="shared" si="4"/>
        <v>1.4499999999999997</v>
      </c>
      <c r="N280" s="75">
        <v>0.4</v>
      </c>
      <c r="O280" s="75"/>
      <c r="P280" s="36">
        <v>3.2</v>
      </c>
      <c r="Q280" s="58">
        <v>0</v>
      </c>
      <c r="R280" s="36"/>
      <c r="S280" s="36"/>
      <c r="T280" s="59">
        <v>2.85</v>
      </c>
      <c r="U280" s="37"/>
      <c r="V280" s="37"/>
      <c r="W280" s="38">
        <f>Table132[[#This Row],[Suma lab]]+Table132[[#This Row],[Q1]]+Table132[[#This Row],[Q2]]+MAX(Table132[[#This Row],[Partial]:[re2p]])+MAX(Table132[[#This Row],[Final]:[re2f]])</f>
        <v>7.9</v>
      </c>
      <c r="X280" s="70">
        <f>IF(Table132[[#This Row],[Total]]&gt;=9.5, 10, ROUND(Table132[[#This Row],[Total]],0))</f>
        <v>8</v>
      </c>
      <c r="Y280" s="34"/>
      <c r="Z280" s="34"/>
      <c r="AA280" s="66"/>
    </row>
    <row r="281" spans="1:27" ht="15.75" customHeight="1">
      <c r="A281" s="26">
        <v>25</v>
      </c>
      <c r="B281" s="32">
        <v>279</v>
      </c>
      <c r="C281" s="46">
        <v>302210</v>
      </c>
      <c r="D281" s="73" t="s">
        <v>351</v>
      </c>
      <c r="E281" s="26" t="s">
        <v>33</v>
      </c>
      <c r="F281" s="33" t="s">
        <v>68</v>
      </c>
      <c r="G281" s="34">
        <v>0.4</v>
      </c>
      <c r="H281" s="34">
        <v>0</v>
      </c>
      <c r="I281" s="34">
        <v>0.32</v>
      </c>
      <c r="J281" s="34">
        <v>0</v>
      </c>
      <c r="K281" s="34">
        <v>0.2</v>
      </c>
      <c r="L281" s="34" t="s">
        <v>68</v>
      </c>
      <c r="M281" s="35">
        <f t="shared" si="4"/>
        <v>0.91999999999999993</v>
      </c>
      <c r="N281" s="75"/>
      <c r="O281" s="75"/>
      <c r="P281" s="36">
        <v>0.15</v>
      </c>
      <c r="Q281" s="58">
        <v>2.4</v>
      </c>
      <c r="R281" s="36"/>
      <c r="S281" s="36"/>
      <c r="T281" s="59">
        <v>4.3</v>
      </c>
      <c r="U281" s="37"/>
      <c r="V281" s="37"/>
      <c r="W281" s="38">
        <f>Table132[[#This Row],[Suma lab]]+Table132[[#This Row],[Q1]]+Table132[[#This Row],[Q2]]+MAX(Table132[[#This Row],[Partial]:[re2p]])+MAX(Table132[[#This Row],[Final]:[re2f]])</f>
        <v>7.6199999999999992</v>
      </c>
      <c r="X281" s="70">
        <f>IF(Table132[[#This Row],[Total]]&gt;=9.5, 10, ROUND(Table132[[#This Row],[Total]],0))</f>
        <v>8</v>
      </c>
      <c r="Y281" s="34"/>
      <c r="Z281" s="34"/>
      <c r="AA281" s="66"/>
    </row>
    <row r="282" spans="1:27" ht="15.75" customHeight="1">
      <c r="A282" s="26">
        <v>26</v>
      </c>
      <c r="B282" s="32">
        <v>280</v>
      </c>
      <c r="C282" s="46">
        <v>302210</v>
      </c>
      <c r="D282" s="73" t="s">
        <v>352</v>
      </c>
      <c r="E282" s="26" t="s">
        <v>26</v>
      </c>
      <c r="F282" s="27" t="s">
        <v>68</v>
      </c>
      <c r="G282" s="28">
        <v>0.6</v>
      </c>
      <c r="H282" s="28">
        <v>0.6</v>
      </c>
      <c r="I282" s="28">
        <v>0.4</v>
      </c>
      <c r="J282" s="28">
        <v>0.6</v>
      </c>
      <c r="K282" s="28">
        <v>0.4</v>
      </c>
      <c r="L282" s="28" t="s">
        <v>68</v>
      </c>
      <c r="M282" s="29">
        <f t="shared" si="4"/>
        <v>2.6</v>
      </c>
      <c r="N282" s="74">
        <v>0.3</v>
      </c>
      <c r="O282" s="74"/>
      <c r="P282" s="30">
        <v>3.45</v>
      </c>
      <c r="Q282" s="54"/>
      <c r="R282" s="30"/>
      <c r="S282" s="30"/>
      <c r="T282" s="55"/>
      <c r="U282" s="31"/>
      <c r="V282" s="31"/>
      <c r="W282" s="38">
        <f>Table132[[#This Row],[Suma lab]]+Table132[[#This Row],[Q1]]+Table132[[#This Row],[Q2]]+MAX(Table132[[#This Row],[Partial]:[re2p]])+MAX(Table132[[#This Row],[Final]:[re2f]])</f>
        <v>6.35</v>
      </c>
      <c r="X282" s="78">
        <f>IF(Table132[[#This Row],[Total]]&gt;=9.5, 10, ROUND(Table132[[#This Row],[Total]],0))</f>
        <v>6</v>
      </c>
      <c r="Y282" s="28"/>
      <c r="Z282" s="28"/>
      <c r="AA282" s="65" t="s">
        <v>168</v>
      </c>
    </row>
    <row r="283" spans="1:27" ht="15.75" customHeight="1">
      <c r="A283" s="26">
        <v>27</v>
      </c>
      <c r="B283" s="32">
        <v>281</v>
      </c>
      <c r="C283" s="46">
        <v>302210</v>
      </c>
      <c r="D283" s="73" t="s">
        <v>353</v>
      </c>
      <c r="E283" s="26"/>
      <c r="F283" s="27"/>
      <c r="G283" s="28"/>
      <c r="H283" s="28"/>
      <c r="I283" s="28"/>
      <c r="J283" s="28"/>
      <c r="K283" s="28"/>
      <c r="L283" s="28"/>
      <c r="M283" s="29">
        <f t="shared" si="4"/>
        <v>0</v>
      </c>
      <c r="N283" s="74"/>
      <c r="O283" s="74"/>
      <c r="P283" s="30"/>
      <c r="Q283" s="54"/>
      <c r="R283" s="30"/>
      <c r="S283" s="30"/>
      <c r="T283" s="55"/>
      <c r="U283" s="31"/>
      <c r="V283" s="31"/>
      <c r="W283" s="38">
        <f>Table132[[#This Row],[Suma lab]]+Table132[[#This Row],[Q1]]+Table132[[#This Row],[Q2]]+MAX(Table132[[#This Row],[Partial]:[re2p]])+MAX(Table132[[#This Row],[Final]:[re2f]])</f>
        <v>0</v>
      </c>
      <c r="X283" s="70">
        <v>-2</v>
      </c>
      <c r="Y283" s="28"/>
      <c r="Z283" s="28"/>
      <c r="AA283" s="65"/>
    </row>
    <row r="284" spans="1:27" ht="15.75" customHeight="1">
      <c r="A284" s="26">
        <v>28</v>
      </c>
      <c r="B284" s="32">
        <v>282</v>
      </c>
      <c r="C284" s="46">
        <v>302210</v>
      </c>
      <c r="D284" s="73" t="s">
        <v>354</v>
      </c>
      <c r="E284" s="26" t="s">
        <v>32</v>
      </c>
      <c r="F284" s="27" t="s">
        <v>68</v>
      </c>
      <c r="G284" s="28">
        <v>0.45</v>
      </c>
      <c r="H284" s="28">
        <v>0.6</v>
      </c>
      <c r="I284" s="28">
        <v>0.6</v>
      </c>
      <c r="J284" s="28">
        <v>0.4</v>
      </c>
      <c r="K284" s="28">
        <v>0.6</v>
      </c>
      <c r="L284" s="28" t="s">
        <v>68</v>
      </c>
      <c r="M284" s="29">
        <f t="shared" si="4"/>
        <v>2.65</v>
      </c>
      <c r="N284" s="74"/>
      <c r="O284" s="74"/>
      <c r="P284" s="30">
        <v>2.2999999999999998</v>
      </c>
      <c r="Q284" s="54">
        <v>0</v>
      </c>
      <c r="R284" s="67"/>
      <c r="S284" s="30"/>
      <c r="T284" s="55">
        <v>4.45</v>
      </c>
      <c r="U284" s="68"/>
      <c r="V284" s="31"/>
      <c r="W284" s="38">
        <f>Table132[[#This Row],[Suma lab]]+Table132[[#This Row],[Q1]]+Table132[[#This Row],[Q2]]+MAX(Table132[[#This Row],[Partial]:[re2p]])+MAX(Table132[[#This Row],[Final]:[re2f]])</f>
        <v>9.3999999999999986</v>
      </c>
      <c r="X284" s="70">
        <f>IF(Table132[[#This Row],[Total]]&gt;=9.5, 10, ROUND(Table132[[#This Row],[Total]],0))</f>
        <v>9</v>
      </c>
      <c r="Y284" s="28"/>
      <c r="Z284" s="28"/>
      <c r="AA284" s="65"/>
    </row>
    <row r="285" spans="1:27" ht="15.75" customHeight="1">
      <c r="A285" s="26">
        <v>29</v>
      </c>
      <c r="B285" s="32">
        <v>283</v>
      </c>
      <c r="C285" s="46">
        <v>302210</v>
      </c>
      <c r="D285" s="73" t="s">
        <v>355</v>
      </c>
      <c r="E285" s="26" t="s">
        <v>32</v>
      </c>
      <c r="F285" s="33" t="s">
        <v>68</v>
      </c>
      <c r="G285" s="34">
        <v>0.4</v>
      </c>
      <c r="H285" s="34">
        <v>0.4</v>
      </c>
      <c r="I285" s="34">
        <v>0.55000000000000004</v>
      </c>
      <c r="J285" s="34">
        <v>0.4</v>
      </c>
      <c r="K285" s="34">
        <v>0.4</v>
      </c>
      <c r="L285" s="34" t="s">
        <v>68</v>
      </c>
      <c r="M285" s="35">
        <f t="shared" si="4"/>
        <v>2.15</v>
      </c>
      <c r="N285" s="75"/>
      <c r="O285" s="75"/>
      <c r="P285" s="36">
        <v>3.5</v>
      </c>
      <c r="Q285" s="58"/>
      <c r="R285" s="36"/>
      <c r="S285" s="36"/>
      <c r="T285" s="59">
        <v>5.7</v>
      </c>
      <c r="U285" s="37"/>
      <c r="V285" s="37"/>
      <c r="W285" s="38">
        <f>Table132[[#This Row],[Suma lab]]+Table132[[#This Row],[Q1]]+Table132[[#This Row],[Q2]]+MAX(Table132[[#This Row],[Partial]:[re2p]])+MAX(Table132[[#This Row],[Final]:[re2f]])</f>
        <v>11.350000000000001</v>
      </c>
      <c r="X285" s="70">
        <f>IF(Table132[[#This Row],[Total]]&gt;=9.5, 10, ROUND(Table132[[#This Row],[Total]],0))</f>
        <v>10</v>
      </c>
      <c r="Y285" s="34"/>
      <c r="Z285" s="34"/>
      <c r="AA285" s="66"/>
    </row>
    <row r="286" spans="1:27" ht="15.75" customHeight="1">
      <c r="A286" s="26">
        <v>30</v>
      </c>
      <c r="B286" s="32">
        <v>284</v>
      </c>
      <c r="C286" s="46">
        <v>302210</v>
      </c>
      <c r="D286" s="73" t="s">
        <v>356</v>
      </c>
      <c r="E286" s="26" t="s">
        <v>32</v>
      </c>
      <c r="F286" s="33" t="s">
        <v>68</v>
      </c>
      <c r="G286" s="34">
        <v>0.4</v>
      </c>
      <c r="H286" s="34">
        <v>0.1</v>
      </c>
      <c r="I286" s="34">
        <v>0.2</v>
      </c>
      <c r="J286" s="34">
        <v>0</v>
      </c>
      <c r="K286" s="34">
        <v>0.2</v>
      </c>
      <c r="L286" s="28" t="s">
        <v>68</v>
      </c>
      <c r="M286" s="35">
        <f t="shared" si="4"/>
        <v>0.89999999999999991</v>
      </c>
      <c r="N286" s="75"/>
      <c r="O286" s="75">
        <v>0</v>
      </c>
      <c r="P286" s="36">
        <v>0.1</v>
      </c>
      <c r="Q286" s="58">
        <v>1.55</v>
      </c>
      <c r="R286" s="36"/>
      <c r="S286" s="36"/>
      <c r="T286" s="59">
        <v>2.0499999999999998</v>
      </c>
      <c r="U286" s="37"/>
      <c r="V286" s="37"/>
      <c r="W286" s="38">
        <f>Table132[[#This Row],[Suma lab]]+Table132[[#This Row],[Q1]]+Table132[[#This Row],[Q2]]+MAX(Table132[[#This Row],[Partial]:[re2p]])+MAX(Table132[[#This Row],[Final]:[re2f]])</f>
        <v>4.5</v>
      </c>
      <c r="X286" s="70">
        <f>IF(Table132[[#This Row],[Total]]&gt;=9.5, 10, ROUND(Table132[[#This Row],[Total]],0))</f>
        <v>5</v>
      </c>
      <c r="Y286" s="34"/>
      <c r="Z286" s="34"/>
      <c r="AA286" s="65"/>
    </row>
    <row r="287" spans="1:27" ht="15.75" customHeight="1">
      <c r="A287" s="26">
        <v>31</v>
      </c>
      <c r="B287" s="32">
        <v>285</v>
      </c>
      <c r="C287" s="46">
        <v>302210</v>
      </c>
      <c r="D287" s="73" t="s">
        <v>357</v>
      </c>
      <c r="E287" s="26" t="s">
        <v>32</v>
      </c>
      <c r="F287" s="33" t="s">
        <v>68</v>
      </c>
      <c r="G287" s="34">
        <v>0.6</v>
      </c>
      <c r="H287" s="34">
        <v>0.6</v>
      </c>
      <c r="I287" s="34" t="s">
        <v>77</v>
      </c>
      <c r="J287" s="34">
        <v>0.3</v>
      </c>
      <c r="K287" s="34">
        <v>0.2</v>
      </c>
      <c r="L287" s="34" t="s">
        <v>68</v>
      </c>
      <c r="M287" s="35">
        <f t="shared" si="4"/>
        <v>1.7</v>
      </c>
      <c r="N287" s="75"/>
      <c r="O287" s="75"/>
      <c r="P287" s="36">
        <v>1.6</v>
      </c>
      <c r="Q287" s="58">
        <v>2.4</v>
      </c>
      <c r="R287" s="36"/>
      <c r="S287" s="36"/>
      <c r="T287" s="59">
        <v>4.2</v>
      </c>
      <c r="U287" s="37"/>
      <c r="V287" s="37"/>
      <c r="W287" s="38">
        <f>Table132[[#This Row],[Suma lab]]+Table132[[#This Row],[Q1]]+Table132[[#This Row],[Q2]]+MAX(Table132[[#This Row],[Partial]:[re2p]])+MAX(Table132[[#This Row],[Final]:[re2f]])</f>
        <v>8.3000000000000007</v>
      </c>
      <c r="X287" s="70">
        <f>IF(Table132[[#This Row],[Total]]&gt;=9.5, 10, ROUND(Table132[[#This Row],[Total]],0))</f>
        <v>8</v>
      </c>
      <c r="Y287" s="34"/>
      <c r="Z287" s="34"/>
      <c r="AA287" s="66"/>
    </row>
    <row r="288" spans="1:27" ht="15.75" customHeight="1">
      <c r="A288" s="26"/>
      <c r="B288" s="32">
        <v>286</v>
      </c>
      <c r="C288" s="40">
        <v>30227</v>
      </c>
      <c r="D288" s="53" t="s">
        <v>358</v>
      </c>
      <c r="E288" s="26" t="s">
        <v>27</v>
      </c>
      <c r="F288" s="27" t="s">
        <v>68</v>
      </c>
      <c r="G288" s="28">
        <v>0.4</v>
      </c>
      <c r="H288" s="28">
        <v>0.2</v>
      </c>
      <c r="I288" s="28">
        <v>0.3</v>
      </c>
      <c r="J288" s="28">
        <v>0.5</v>
      </c>
      <c r="K288" s="28" t="s">
        <v>77</v>
      </c>
      <c r="L288" s="28" t="s">
        <v>68</v>
      </c>
      <c r="M288" s="29">
        <f t="shared" si="4"/>
        <v>1.4000000000000001</v>
      </c>
      <c r="N288" s="74">
        <v>0.3</v>
      </c>
      <c r="O288" s="74"/>
      <c r="P288" s="30">
        <v>2</v>
      </c>
      <c r="Q288" s="54">
        <v>0</v>
      </c>
      <c r="R288" s="30"/>
      <c r="S288" s="30"/>
      <c r="T288" s="55">
        <v>1.5</v>
      </c>
      <c r="U288" s="31"/>
      <c r="V288" s="31"/>
      <c r="W288" s="38">
        <f>Table132[[#This Row],[Suma lab]]+Table132[[#This Row],[Q1]]+Table132[[#This Row],[Q2]]+MAX(Table132[[#This Row],[Partial]:[re2p]])+MAX(Table132[[#This Row],[Final]:[re2f]])</f>
        <v>5.2</v>
      </c>
      <c r="X288" s="70">
        <f>IF(Table132[[#This Row],[Total]]&gt;=9.5, 10, ROUND(Table132[[#This Row],[Total]],0))</f>
        <v>5</v>
      </c>
      <c r="Y288" s="28"/>
      <c r="Z288" s="28"/>
      <c r="AA288" s="65"/>
    </row>
    <row r="289" spans="1:27" ht="15.75" customHeight="1">
      <c r="A289" s="32"/>
      <c r="B289" s="32">
        <v>287</v>
      </c>
      <c r="C289" s="32" t="s">
        <v>359</v>
      </c>
      <c r="D289" s="57" t="s">
        <v>360</v>
      </c>
      <c r="E289" s="32" t="s">
        <v>28</v>
      </c>
      <c r="F289" s="33" t="s">
        <v>68</v>
      </c>
      <c r="G289" s="34" t="s">
        <v>68</v>
      </c>
      <c r="H289" s="34">
        <v>0.6</v>
      </c>
      <c r="I289" s="34"/>
      <c r="J289" s="34"/>
      <c r="K289" s="34"/>
      <c r="L289" s="34"/>
      <c r="M289" s="35">
        <f t="shared" si="4"/>
        <v>0.6</v>
      </c>
      <c r="N289" s="75"/>
      <c r="O289" s="75"/>
      <c r="P289" s="30"/>
      <c r="Q289" s="58"/>
      <c r="R289" s="36"/>
      <c r="S289" s="36"/>
      <c r="T289" s="59"/>
      <c r="U289" s="37"/>
      <c r="V289" s="37"/>
      <c r="W289" s="38">
        <f>Table132[[#This Row],[Suma lab]]+Table132[[#This Row],[Q1]]+Table132[[#This Row],[Q2]]+MAX(Table132[[#This Row],[Partial]:[re2p]])+MAX(Table132[[#This Row],[Final]:[re2f]])</f>
        <v>0.6</v>
      </c>
      <c r="X289" s="70">
        <f>IF(Table132[[#This Row],[Total]]&gt;=9.5, 10, ROUND(Table132[[#This Row],[Total]],0))</f>
        <v>1</v>
      </c>
      <c r="Y289" s="34"/>
      <c r="Z289" s="34"/>
      <c r="AA289" s="66" t="s">
        <v>361</v>
      </c>
    </row>
    <row r="290" spans="1:27" ht="15.75" customHeight="1">
      <c r="A290" s="26"/>
      <c r="B290" s="32">
        <v>288</v>
      </c>
      <c r="C290" s="4" t="s">
        <v>362</v>
      </c>
      <c r="D290" s="57" t="s">
        <v>363</v>
      </c>
      <c r="E290" s="26"/>
      <c r="F290" s="80" t="s">
        <v>68</v>
      </c>
      <c r="G290" s="80">
        <v>0</v>
      </c>
      <c r="H290" s="80">
        <v>0</v>
      </c>
      <c r="I290" s="80">
        <v>0.15</v>
      </c>
      <c r="J290" s="80">
        <v>0</v>
      </c>
      <c r="K290" s="80">
        <v>0</v>
      </c>
      <c r="L290" s="80" t="s">
        <v>68</v>
      </c>
      <c r="M290" s="29">
        <f t="shared" si="4"/>
        <v>0.15</v>
      </c>
      <c r="N290" s="74"/>
      <c r="O290" s="74"/>
      <c r="P290" s="30"/>
      <c r="Q290" s="54"/>
      <c r="R290" s="30"/>
      <c r="S290" s="30"/>
      <c r="T290" s="55"/>
      <c r="U290" s="31"/>
      <c r="V290" s="31"/>
      <c r="W290" s="81">
        <f>Table132[[#This Row],[Suma lab]]+Table132[[#This Row],[Q1]]+Table132[[#This Row],[Q2]]+MAX(Table132[[#This Row],[Partial]:[re2p]],Table132[[#This Row],[maxp]])+MAX(Table132[[#This Row],[Final]:[re2f]],Table132[[#This Row],[maxf]])</f>
        <v>0.85</v>
      </c>
      <c r="X290" s="70">
        <f>IF(Table132[[#This Row],[Total]]&gt;=9.5, 10, ROUND(Table132[[#This Row],[Total]],0))</f>
        <v>1</v>
      </c>
      <c r="Y290" s="28">
        <v>0.7</v>
      </c>
      <c r="Z290" s="28">
        <v>0</v>
      </c>
      <c r="AA290" s="71"/>
    </row>
    <row r="291" spans="1:27" ht="15.75" customHeight="1">
      <c r="A291" s="26"/>
      <c r="B291" s="32">
        <v>289</v>
      </c>
      <c r="C291" s="4" t="s">
        <v>362</v>
      </c>
      <c r="D291" s="57" t="s">
        <v>364</v>
      </c>
      <c r="E291" s="26" t="s">
        <v>18</v>
      </c>
      <c r="F291" s="80" t="s">
        <v>68</v>
      </c>
      <c r="G291" s="80" t="s">
        <v>68</v>
      </c>
      <c r="H291" s="34">
        <v>0.2</v>
      </c>
      <c r="I291" s="28">
        <v>0.1</v>
      </c>
      <c r="J291" s="28">
        <v>0</v>
      </c>
      <c r="K291" s="28">
        <v>0.2</v>
      </c>
      <c r="L291" s="80" t="s">
        <v>68</v>
      </c>
      <c r="M291" s="29">
        <f t="shared" si="4"/>
        <v>0.5</v>
      </c>
      <c r="N291" s="74"/>
      <c r="O291" s="74"/>
      <c r="P291" s="30"/>
      <c r="Q291" s="54"/>
      <c r="R291" s="30"/>
      <c r="S291" s="30"/>
      <c r="T291" s="55"/>
      <c r="U291" s="31"/>
      <c r="V291" s="31"/>
      <c r="W291" s="81">
        <f>Table132[[#This Row],[Suma lab]]+Table132[[#This Row],[Q1]]+Table132[[#This Row],[Q2]]+MAX(Table132[[#This Row],[Partial]:[re2p]],Table132[[#This Row],[maxp]])+MAX(Table132[[#This Row],[Final]:[re2f]],Table132[[#This Row],[maxf]])</f>
        <v>0.5</v>
      </c>
      <c r="X291" s="70">
        <f>IF(Table132[[#This Row],[Total]]&gt;=9.5, 10, ROUND(Table132[[#This Row],[Total]],0))</f>
        <v>1</v>
      </c>
      <c r="Y291" s="28"/>
      <c r="Z291" s="28"/>
      <c r="AA291" s="71"/>
    </row>
    <row r="292" spans="1:27" ht="15.75" customHeight="1">
      <c r="A292" s="26"/>
      <c r="B292" s="32">
        <v>290</v>
      </c>
      <c r="C292" s="4" t="s">
        <v>362</v>
      </c>
      <c r="D292" s="57" t="s">
        <v>365</v>
      </c>
      <c r="E292" s="26"/>
      <c r="F292" s="47" t="s">
        <v>68</v>
      </c>
      <c r="G292" s="48">
        <v>0.2</v>
      </c>
      <c r="H292" s="48">
        <v>0.2</v>
      </c>
      <c r="I292" s="48">
        <v>0</v>
      </c>
      <c r="J292" s="48">
        <v>0.1</v>
      </c>
      <c r="K292" s="48">
        <v>0</v>
      </c>
      <c r="L292" s="48" t="s">
        <v>68</v>
      </c>
      <c r="M292" s="29">
        <f t="shared" si="4"/>
        <v>0.5</v>
      </c>
      <c r="N292" s="74"/>
      <c r="O292" s="74"/>
      <c r="P292" s="30"/>
      <c r="Q292" s="54"/>
      <c r="R292" s="30"/>
      <c r="S292" s="30"/>
      <c r="T292" s="55"/>
      <c r="U292" s="31"/>
      <c r="V292" s="31"/>
      <c r="W292" s="81">
        <f>Table132[[#This Row],[Suma lab]]+Table132[[#This Row],[Q1]]+Table132[[#This Row],[Q2]]+MAX(Table132[[#This Row],[Partial]:[re2p]],Table132[[#This Row],[maxp]])+MAX(Table132[[#This Row],[Final]:[re2f]],Table132[[#This Row],[maxf]])</f>
        <v>4</v>
      </c>
      <c r="X292" s="70">
        <f>IF(Table132[[#This Row],[Total]]&gt;=9.5, 10, ROUND(Table132[[#This Row],[Total]],0))</f>
        <v>4</v>
      </c>
      <c r="Y292" s="28">
        <v>1.4</v>
      </c>
      <c r="Z292" s="28">
        <v>2.1</v>
      </c>
      <c r="AA292" s="71"/>
    </row>
    <row r="293" spans="1:27" ht="15.75" customHeight="1">
      <c r="A293" s="26"/>
      <c r="B293" s="32">
        <v>291</v>
      </c>
      <c r="C293" s="4" t="s">
        <v>362</v>
      </c>
      <c r="D293" s="57" t="s">
        <v>366</v>
      </c>
      <c r="E293" s="26"/>
      <c r="F293" s="47" t="s">
        <v>68</v>
      </c>
      <c r="G293" s="48">
        <v>0.25</v>
      </c>
      <c r="H293" s="48">
        <v>0.1</v>
      </c>
      <c r="I293" s="48">
        <v>0</v>
      </c>
      <c r="J293" s="48">
        <v>0.3</v>
      </c>
      <c r="K293" s="48">
        <v>0.1</v>
      </c>
      <c r="L293" s="48" t="s">
        <v>68</v>
      </c>
      <c r="M293" s="29">
        <f t="shared" si="4"/>
        <v>0.74999999999999989</v>
      </c>
      <c r="N293" s="74"/>
      <c r="O293" s="74"/>
      <c r="P293" s="30"/>
      <c r="Q293" s="54">
        <v>0.4</v>
      </c>
      <c r="R293" s="30"/>
      <c r="S293" s="30"/>
      <c r="T293" s="55">
        <v>0.4</v>
      </c>
      <c r="U293" s="31"/>
      <c r="V293" s="31"/>
      <c r="W293" s="81">
        <f>Table132[[#This Row],[Suma lab]]+Table132[[#This Row],[Q1]]+Table132[[#This Row],[Q2]]+MAX(Table132[[#This Row],[Partial]:[re2p]],Table132[[#This Row],[maxp]])+MAX(Table132[[#This Row],[Final]:[re2f]],Table132[[#This Row],[maxf]])</f>
        <v>2.6999999999999997</v>
      </c>
      <c r="X293" s="70">
        <f>IF(Table132[[#This Row],[Total]]&gt;=9.5, 10, ROUND(Table132[[#This Row],[Total]],0))</f>
        <v>3</v>
      </c>
      <c r="Y293" s="28">
        <v>1.55</v>
      </c>
      <c r="Z293" s="28">
        <v>0.3</v>
      </c>
      <c r="AA293" s="71"/>
    </row>
    <row r="294" spans="1:27" ht="15.75" customHeight="1">
      <c r="A294" s="26"/>
      <c r="B294" s="32">
        <v>292</v>
      </c>
      <c r="C294" s="4" t="s">
        <v>362</v>
      </c>
      <c r="D294" s="57" t="s">
        <v>367</v>
      </c>
      <c r="E294" s="26"/>
      <c r="F294" s="27"/>
      <c r="G294" s="28"/>
      <c r="H294" s="28"/>
      <c r="I294" s="28"/>
      <c r="J294" s="28"/>
      <c r="K294" s="28">
        <v>0</v>
      </c>
      <c r="L294" s="28" t="s">
        <v>68</v>
      </c>
      <c r="M294" s="29">
        <f t="shared" si="4"/>
        <v>0</v>
      </c>
      <c r="N294" s="74"/>
      <c r="O294" s="74"/>
      <c r="P294" s="30"/>
      <c r="Q294" s="54"/>
      <c r="R294" s="30"/>
      <c r="S294" s="30"/>
      <c r="T294" s="55"/>
      <c r="U294" s="31"/>
      <c r="V294" s="31"/>
      <c r="W294" s="81">
        <f>Table132[[#This Row],[Suma lab]]+Table132[[#This Row],[Q1]]+Table132[[#This Row],[Q2]]+MAX(Table132[[#This Row],[Partial]:[re2p]],Table132[[#This Row],[maxp]])+MAX(Table132[[#This Row],[Final]:[re2f]],Table132[[#This Row],[maxf]])</f>
        <v>0</v>
      </c>
      <c r="X294" s="70">
        <f>IF(Table132[[#This Row],[Total]]&gt;=9.5, 10, ROUND(Table132[[#This Row],[Total]],0))</f>
        <v>0</v>
      </c>
      <c r="Y294" s="28"/>
      <c r="Z294" s="28"/>
      <c r="AA294" s="71"/>
    </row>
    <row r="295" spans="1:27" ht="15.75" customHeight="1">
      <c r="A295" s="26"/>
      <c r="B295" s="32">
        <v>293</v>
      </c>
      <c r="C295" s="4" t="s">
        <v>362</v>
      </c>
      <c r="D295" s="57" t="s">
        <v>368</v>
      </c>
      <c r="E295" s="26"/>
      <c r="F295" s="27"/>
      <c r="G295" s="28"/>
      <c r="H295" s="28"/>
      <c r="I295" s="28"/>
      <c r="J295" s="28"/>
      <c r="K295" s="28"/>
      <c r="L295" s="28"/>
      <c r="M295" s="29">
        <f t="shared" si="4"/>
        <v>0</v>
      </c>
      <c r="N295" s="74"/>
      <c r="O295" s="74"/>
      <c r="P295" s="30"/>
      <c r="Q295" s="54"/>
      <c r="R295" s="30"/>
      <c r="S295" s="30"/>
      <c r="T295" s="55"/>
      <c r="U295" s="31"/>
      <c r="V295" s="31"/>
      <c r="W295" s="81">
        <f>Table132[[#This Row],[Suma lab]]+Table132[[#This Row],[Q1]]+Table132[[#This Row],[Q2]]+MAX(Table132[[#This Row],[Partial]:[re2p]],Table132[[#This Row],[maxp]])+MAX(Table132[[#This Row],[Final]:[re2f]],Table132[[#This Row],[maxf]])</f>
        <v>0</v>
      </c>
      <c r="X295" s="70">
        <f>IF(Table132[[#This Row],[Total]]&gt;=9.5, 10, ROUND(Table132[[#This Row],[Total]],0))</f>
        <v>0</v>
      </c>
      <c r="Y295" s="28">
        <v>0</v>
      </c>
      <c r="Z295" s="28"/>
      <c r="AA295" s="71"/>
    </row>
    <row r="296" spans="1:27" ht="15.75" customHeight="1">
      <c r="A296" s="26"/>
      <c r="B296" s="32">
        <v>294</v>
      </c>
      <c r="C296" s="4" t="s">
        <v>362</v>
      </c>
      <c r="D296" s="57" t="s">
        <v>369</v>
      </c>
      <c r="E296" s="26"/>
      <c r="F296" s="47" t="s">
        <v>68</v>
      </c>
      <c r="G296" s="48">
        <v>0.2</v>
      </c>
      <c r="H296" s="48">
        <v>0.05</v>
      </c>
      <c r="I296" s="48">
        <v>0.05</v>
      </c>
      <c r="J296" s="48">
        <v>0.12</v>
      </c>
      <c r="K296" s="48">
        <v>0.35</v>
      </c>
      <c r="L296" s="48" t="s">
        <v>68</v>
      </c>
      <c r="M296" s="29">
        <f t="shared" si="4"/>
        <v>0.77</v>
      </c>
      <c r="N296" s="74"/>
      <c r="O296" s="74"/>
      <c r="P296" s="30"/>
      <c r="Q296" s="54"/>
      <c r="R296" s="30"/>
      <c r="S296" s="30"/>
      <c r="T296" s="55"/>
      <c r="U296" s="31"/>
      <c r="V296" s="31"/>
      <c r="W296" s="81">
        <f>Table132[[#This Row],[Suma lab]]+Table132[[#This Row],[Q1]]+Table132[[#This Row],[Q2]]+MAX(Table132[[#This Row],[Partial]:[re2p]],Table132[[#This Row],[maxp]])+MAX(Table132[[#This Row],[Final]:[re2f]],Table132[[#This Row],[maxf]])</f>
        <v>0.77</v>
      </c>
      <c r="X296" s="70">
        <f>IF(Table132[[#This Row],[Total]]&gt;=9.5, 10, ROUND(Table132[[#This Row],[Total]],0))</f>
        <v>1</v>
      </c>
      <c r="Y296" s="28">
        <v>0</v>
      </c>
      <c r="Z296" s="28"/>
      <c r="AA296" s="71"/>
    </row>
    <row r="297" spans="1:27" ht="15.75" customHeight="1">
      <c r="A297" s="26"/>
      <c r="B297" s="32">
        <v>295</v>
      </c>
      <c r="C297" s="4" t="s">
        <v>362</v>
      </c>
      <c r="D297" s="57" t="s">
        <v>370</v>
      </c>
      <c r="E297" s="26"/>
      <c r="F297" s="27"/>
      <c r="G297" s="28"/>
      <c r="H297" s="28"/>
      <c r="I297" s="28"/>
      <c r="J297" s="28"/>
      <c r="K297" s="28"/>
      <c r="L297" s="28"/>
      <c r="M297" s="29">
        <f t="shared" si="4"/>
        <v>0</v>
      </c>
      <c r="N297" s="74"/>
      <c r="O297" s="74"/>
      <c r="P297" s="30"/>
      <c r="Q297" s="54"/>
      <c r="R297" s="30"/>
      <c r="S297" s="30"/>
      <c r="T297" s="55"/>
      <c r="U297" s="31"/>
      <c r="V297" s="31"/>
      <c r="W297" s="81">
        <f>Table132[[#This Row],[Suma lab]]+Table132[[#This Row],[Q1]]+Table132[[#This Row],[Q2]]+MAX(Table132[[#This Row],[Partial]:[re2p]],Table132[[#This Row],[maxp]])+MAX(Table132[[#This Row],[Final]:[re2f]],Table132[[#This Row],[maxf]])</f>
        <v>0</v>
      </c>
      <c r="X297" s="70">
        <f>IF(Table132[[#This Row],[Total]]&gt;=9.5, 10, ROUND(Table132[[#This Row],[Total]],0))</f>
        <v>0</v>
      </c>
      <c r="Y297" s="28"/>
      <c r="Z297" s="28"/>
      <c r="AA297" s="71"/>
    </row>
    <row r="298" spans="1:27" ht="15.75" customHeight="1">
      <c r="A298" s="26"/>
      <c r="B298" s="32">
        <v>296</v>
      </c>
      <c r="C298" s="4" t="s">
        <v>362</v>
      </c>
      <c r="D298" s="57" t="s">
        <v>371</v>
      </c>
      <c r="E298" s="26"/>
      <c r="F298" s="47" t="s">
        <v>68</v>
      </c>
      <c r="G298" s="48">
        <v>0.15</v>
      </c>
      <c r="H298" s="48">
        <v>0.1</v>
      </c>
      <c r="I298" s="48">
        <v>0.25</v>
      </c>
      <c r="J298" s="48">
        <v>0.05</v>
      </c>
      <c r="K298" s="48">
        <v>0.1</v>
      </c>
      <c r="L298" s="48" t="s">
        <v>68</v>
      </c>
      <c r="M298" s="29">
        <f t="shared" si="4"/>
        <v>0.65</v>
      </c>
      <c r="N298" s="74"/>
      <c r="O298" s="74"/>
      <c r="P298" s="30"/>
      <c r="Q298" s="54">
        <v>0.2</v>
      </c>
      <c r="R298" s="30"/>
      <c r="S298" s="30"/>
      <c r="T298" s="55">
        <v>0.9</v>
      </c>
      <c r="U298" s="31"/>
      <c r="V298" s="31"/>
      <c r="W298" s="81">
        <f>Table132[[#This Row],[Suma lab]]+Table132[[#This Row],[Q1]]+Table132[[#This Row],[Q2]]+MAX(Table132[[#This Row],[Partial]:[re2p]],Table132[[#This Row],[maxp]])+MAX(Table132[[#This Row],[Final]:[re2f]],Table132[[#This Row],[maxf]])</f>
        <v>2.75</v>
      </c>
      <c r="X298" s="70">
        <f>IF(Table132[[#This Row],[Total]]&gt;=9.5, 10, ROUND(Table132[[#This Row],[Total]],0))</f>
        <v>3</v>
      </c>
      <c r="Y298" s="28">
        <v>0.85</v>
      </c>
      <c r="Z298" s="28">
        <v>1.25</v>
      </c>
      <c r="AA298" s="71"/>
    </row>
    <row r="299" spans="1:27" ht="15.75" customHeight="1">
      <c r="A299" s="26"/>
      <c r="B299" s="32">
        <v>297</v>
      </c>
      <c r="C299" s="57" t="s">
        <v>362</v>
      </c>
      <c r="D299" s="57" t="s">
        <v>372</v>
      </c>
      <c r="E299" s="26"/>
      <c r="F299" s="47" t="s">
        <v>68</v>
      </c>
      <c r="G299" s="48">
        <v>0.2</v>
      </c>
      <c r="H299" s="48">
        <v>0.3</v>
      </c>
      <c r="I299" s="48">
        <v>0.25</v>
      </c>
      <c r="J299" s="48">
        <v>0</v>
      </c>
      <c r="K299" s="48">
        <v>0.3</v>
      </c>
      <c r="L299" s="48" t="s">
        <v>68</v>
      </c>
      <c r="M299" s="29">
        <f t="shared" si="4"/>
        <v>1.05</v>
      </c>
      <c r="N299" s="74"/>
      <c r="O299" s="74"/>
      <c r="P299" s="30">
        <v>0.7</v>
      </c>
      <c r="Q299" s="54">
        <v>0.6</v>
      </c>
      <c r="R299" s="30"/>
      <c r="S299" s="30"/>
      <c r="T299" s="55">
        <v>1.1499999999999999</v>
      </c>
      <c r="U299" s="31"/>
      <c r="V299" s="31"/>
      <c r="W299" s="81">
        <f>Table132[[#This Row],[Suma lab]]+Table132[[#This Row],[Q1]]+Table132[[#This Row],[Q2]]+MAX(Table132[[#This Row],[Partial]:[re2p]],Table132[[#This Row],[maxp]])+MAX(Table132[[#This Row],[Final]:[re2f]],Table132[[#This Row],[maxf]])</f>
        <v>3.5500000000000003</v>
      </c>
      <c r="X299" s="70">
        <f>IF(Table132[[#This Row],[Total]]&gt;=9.5, 10, ROUND(Table132[[#This Row],[Total]],0))</f>
        <v>4</v>
      </c>
      <c r="Y299" s="28">
        <v>1.35</v>
      </c>
      <c r="Z299" s="28">
        <v>1</v>
      </c>
      <c r="AA299" s="71"/>
    </row>
    <row r="300" spans="1:27" ht="15.75" customHeight="1">
      <c r="A300" s="26"/>
      <c r="B300" s="32">
        <v>298</v>
      </c>
      <c r="C300" s="4" t="s">
        <v>373</v>
      </c>
      <c r="D300" s="57" t="s">
        <v>374</v>
      </c>
      <c r="E300" s="26"/>
      <c r="F300" s="83" t="s">
        <v>68</v>
      </c>
      <c r="G300" s="83">
        <v>0.3</v>
      </c>
      <c r="H300" s="83">
        <v>0.2</v>
      </c>
      <c r="I300" s="83">
        <v>0.2</v>
      </c>
      <c r="J300" s="83">
        <v>0</v>
      </c>
      <c r="K300" s="83">
        <v>0</v>
      </c>
      <c r="L300" s="83" t="s">
        <v>68</v>
      </c>
      <c r="M300" s="29">
        <f t="shared" si="4"/>
        <v>0.7</v>
      </c>
      <c r="N300" s="74"/>
      <c r="O300" s="74"/>
      <c r="P300" s="30"/>
      <c r="Q300" s="54"/>
      <c r="R300" s="30"/>
      <c r="S300" s="30"/>
      <c r="T300" s="55"/>
      <c r="U300" s="31"/>
      <c r="V300" s="31"/>
      <c r="W300" s="81">
        <f>Table132[[#This Row],[Suma lab]]+Table132[[#This Row],[Q1]]+Table132[[#This Row],[Q2]]+MAX(Table132[[#This Row],[Partial]:[re2p]],Table132[[#This Row],[maxp]])+MAX(Table132[[#This Row],[Final]:[re2f]],Table132[[#This Row],[maxf]])</f>
        <v>4</v>
      </c>
      <c r="X300" s="70">
        <f>IF(Table132[[#This Row],[Total]]&gt;=9.5, 10, ROUND(Table132[[#This Row],[Total]],0))</f>
        <v>4</v>
      </c>
      <c r="Y300" s="28">
        <v>1.7</v>
      </c>
      <c r="Z300" s="28">
        <v>1.6</v>
      </c>
      <c r="AA300" s="71"/>
    </row>
    <row r="301" spans="1:27" ht="15.75" customHeight="1">
      <c r="A301" s="26"/>
      <c r="B301" s="32">
        <v>299</v>
      </c>
      <c r="C301" s="4" t="s">
        <v>373</v>
      </c>
      <c r="D301" s="57" t="s">
        <v>375</v>
      </c>
      <c r="E301" s="26"/>
      <c r="F301" s="27"/>
      <c r="G301" s="28"/>
      <c r="H301" s="28"/>
      <c r="I301" s="28"/>
      <c r="J301" s="28"/>
      <c r="K301" s="28"/>
      <c r="L301" s="28"/>
      <c r="M301" s="29">
        <f t="shared" si="4"/>
        <v>0</v>
      </c>
      <c r="N301" s="74"/>
      <c r="O301" s="74"/>
      <c r="P301" s="30"/>
      <c r="Q301" s="54"/>
      <c r="R301" s="30"/>
      <c r="S301" s="30"/>
      <c r="T301" s="55"/>
      <c r="U301" s="31"/>
      <c r="V301" s="31"/>
      <c r="W301" s="81">
        <f>Table132[[#This Row],[Suma lab]]+Table132[[#This Row],[Q1]]+Table132[[#This Row],[Q2]]+MAX(Table132[[#This Row],[Partial]:[re2p]],Table132[[#This Row],[maxp]])+MAX(Table132[[#This Row],[Final]:[re2f]],Table132[[#This Row],[maxf]])</f>
        <v>0</v>
      </c>
      <c r="X301" s="70">
        <f>IF(Table132[[#This Row],[Total]]&gt;=9.5, 10, ROUND(Table132[[#This Row],[Total]],0))</f>
        <v>0</v>
      </c>
      <c r="Y301" s="28"/>
      <c r="Z301" s="28"/>
      <c r="AA301" s="71"/>
    </row>
    <row r="302" spans="1:27" ht="15.75" customHeight="1"/>
    <row r="303" spans="1:27" ht="15.75" customHeight="1">
      <c r="C303" s="79"/>
      <c r="D303" s="79"/>
    </row>
    <row r="304" spans="1:27" ht="15.75" customHeight="1">
      <c r="C304" s="79"/>
      <c r="D304" s="79"/>
    </row>
    <row r="305" spans="3:4" ht="15.75" customHeight="1">
      <c r="C305" s="79"/>
      <c r="D305" s="79"/>
    </row>
    <row r="306" spans="3:4" ht="15.75" customHeight="1">
      <c r="C306" s="79"/>
      <c r="D306" s="79"/>
    </row>
    <row r="307" spans="3:4" ht="15.75" customHeight="1">
      <c r="C307" s="79"/>
      <c r="D307" s="79"/>
    </row>
    <row r="308" spans="3:4" ht="15.75" customHeight="1">
      <c r="C308" s="79"/>
      <c r="D308" s="79"/>
    </row>
    <row r="309" spans="3:4" ht="15.75" customHeight="1">
      <c r="C309" s="79"/>
      <c r="D309" s="79"/>
    </row>
    <row r="310" spans="3:4" ht="15.75" customHeight="1">
      <c r="C310" s="79"/>
      <c r="D310" s="79"/>
    </row>
    <row r="311" spans="3:4" ht="15.75" customHeight="1">
      <c r="C311" s="79"/>
      <c r="D311" s="79"/>
    </row>
    <row r="312" spans="3:4" ht="15.75" customHeight="1">
      <c r="C312" s="79"/>
      <c r="D312" s="79"/>
    </row>
    <row r="313" spans="3:4" ht="15.75" customHeight="1">
      <c r="C313" s="79"/>
      <c r="D313" s="79"/>
    </row>
    <row r="314" spans="3:4" ht="15.75" customHeight="1">
      <c r="C314" s="79"/>
      <c r="D314" s="79"/>
    </row>
    <row r="315" spans="3:4" ht="15.75" customHeight="1"/>
    <row r="316" spans="3:4" ht="15.75" customHeight="1"/>
    <row r="317" spans="3:4" ht="15.75" customHeight="1"/>
    <row r="318" spans="3:4" ht="15.75" customHeight="1"/>
    <row r="319" spans="3:4" ht="15.75" customHeight="1"/>
    <row r="320" spans="3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mergeCells count="1">
    <mergeCell ref="A1:D1"/>
  </mergeCells>
  <conditionalFormatting sqref="F87:F143 F227:L298 F300:L301">
    <cfRule type="cellIs" dxfId="61" priority="29" operator="equal">
      <formula>""</formula>
    </cfRule>
  </conditionalFormatting>
  <conditionalFormatting sqref="F183">
    <cfRule type="cellIs" dxfId="60" priority="23" operator="equal">
      <formula>""</formula>
    </cfRule>
  </conditionalFormatting>
  <conditionalFormatting sqref="F198:F226">
    <cfRule type="cellIs" dxfId="59" priority="38" operator="equal">
      <formula>""</formula>
    </cfRule>
  </conditionalFormatting>
  <conditionalFormatting sqref="F60:G86">
    <cfRule type="cellIs" dxfId="58" priority="27" operator="equal">
      <formula>""</formula>
    </cfRule>
  </conditionalFormatting>
  <conditionalFormatting sqref="F177:H177">
    <cfRule type="cellIs" dxfId="57" priority="25" operator="equal">
      <formula>""</formula>
    </cfRule>
  </conditionalFormatting>
  <conditionalFormatting sqref="F3:L18 F19:K20 F21:L30 I31:L43 F31:F44 I44 L44 F45:L45 F46:F59 I46:L59 H60:L83 H84:K84 H85:L115 I116:L130 J131:L143 F144:K145 F146:L146 F147:K151 F152:L152 F153:K154 F155:L155 F156:K156 I157:L159 F157:F170 I160:K160 I161:L170 F171:L176 I177:L177 F178:L182 G183:L183 F184:L186 F187 H187:L187 F188:L197 G198 I198:L198 G199:L206 G207 I207:L207 G208:L226">
    <cfRule type="cellIs" dxfId="56" priority="40" operator="equal">
      <formula>""</formula>
    </cfRule>
  </conditionalFormatting>
  <conditionalFormatting sqref="G46 G47:H59">
    <cfRule type="cellIs" dxfId="55" priority="17" operator="equal">
      <formula>""</formula>
    </cfRule>
    <cfRule type="cellIs" dxfId="54" priority="18" operator="greaterThan">
      <formula>0.6</formula>
    </cfRule>
  </conditionalFormatting>
  <conditionalFormatting sqref="G60:G115">
    <cfRule type="cellIs" dxfId="53" priority="28" operator="greaterThan">
      <formula>0.6</formula>
    </cfRule>
  </conditionalFormatting>
  <conditionalFormatting sqref="G87:G115">
    <cfRule type="cellIs" dxfId="52" priority="30" operator="equal">
      <formula>""</formula>
    </cfRule>
  </conditionalFormatting>
  <conditionalFormatting sqref="G187">
    <cfRule type="cellIs" dxfId="51" priority="21" operator="equal">
      <formula>""</formula>
    </cfRule>
    <cfRule type="cellIs" dxfId="50" priority="22" operator="greaterThan">
      <formula>0.6</formula>
    </cfRule>
  </conditionalFormatting>
  <conditionalFormatting sqref="G31:H32 H33 G34:H44">
    <cfRule type="cellIs" dxfId="49" priority="19" operator="equal">
      <formula>""</formula>
    </cfRule>
    <cfRule type="cellIs" dxfId="48" priority="20" operator="greaterThan">
      <formula>0.6</formula>
    </cfRule>
  </conditionalFormatting>
  <conditionalFormatting sqref="G116:H143">
    <cfRule type="cellIs" dxfId="47" priority="32" operator="equal">
      <formula>""</formula>
    </cfRule>
    <cfRule type="cellIs" dxfId="46" priority="33" operator="greaterThan">
      <formula>0.6</formula>
    </cfRule>
  </conditionalFormatting>
  <conditionalFormatting sqref="G157:H170">
    <cfRule type="cellIs" dxfId="45" priority="34" operator="equal">
      <formula>""</formula>
    </cfRule>
    <cfRule type="cellIs" dxfId="44" priority="35" operator="greaterThan">
      <formula>0.6</formula>
    </cfRule>
  </conditionalFormatting>
  <conditionalFormatting sqref="G177:H177">
    <cfRule type="cellIs" dxfId="43" priority="26" operator="greaterThan">
      <formula>0.6</formula>
    </cfRule>
  </conditionalFormatting>
  <conditionalFormatting sqref="G3:K30 I31:K43 I44 G45:K45 I46:K59 H60:K115 I116:K130 J131:K143 G144:K156 I157:K170 G171:K176 I177:K177 G178:K186 H187:K187 G188:K197 G198 I198:K198 G199:K206 G207 I207:K207">
    <cfRule type="cellIs" dxfId="42" priority="41" operator="greaterThan">
      <formula>0.6</formula>
    </cfRule>
  </conditionalFormatting>
  <conditionalFormatting sqref="G208:K298 F238 G300:K301">
    <cfRule type="cellIs" dxfId="41" priority="36" operator="greaterThan">
      <formula>0.6</formula>
    </cfRule>
  </conditionalFormatting>
  <conditionalFormatting sqref="J44:K44">
    <cfRule type="cellIs" dxfId="40" priority="15" operator="equal">
      <formula>""</formula>
    </cfRule>
    <cfRule type="cellIs" dxfId="39" priority="16" operator="greaterThan">
      <formula>0.6</formula>
    </cfRule>
  </conditionalFormatting>
  <conditionalFormatting sqref="L19:L20">
    <cfRule type="cellIs" dxfId="38" priority="1" operator="equal">
      <formula>""</formula>
    </cfRule>
  </conditionalFormatting>
  <conditionalFormatting sqref="L84">
    <cfRule type="cellIs" dxfId="37" priority="14" operator="equal">
      <formula>""</formula>
    </cfRule>
  </conditionalFormatting>
  <conditionalFormatting sqref="L144:L145">
    <cfRule type="cellIs" dxfId="36" priority="8" operator="equal">
      <formula>""</formula>
    </cfRule>
  </conditionalFormatting>
  <conditionalFormatting sqref="L147:L151">
    <cfRule type="cellIs" dxfId="35" priority="3" operator="equal">
      <formula>""</formula>
    </cfRule>
  </conditionalFormatting>
  <conditionalFormatting sqref="L153:L154">
    <cfRule type="cellIs" dxfId="34" priority="5" operator="equal">
      <formula>""</formula>
    </cfRule>
  </conditionalFormatting>
  <conditionalFormatting sqref="L156">
    <cfRule type="cellIs" dxfId="33" priority="10" operator="equal">
      <formula>""</formula>
    </cfRule>
  </conditionalFormatting>
  <conditionalFormatting sqref="L160">
    <cfRule type="cellIs" dxfId="32" priority="4" operator="equal">
      <formula>""</formula>
    </cfRule>
  </conditionalFormatting>
  <conditionalFormatting sqref="P3:S301">
    <cfRule type="cellIs" dxfId="31" priority="42" operator="greaterThan">
      <formula>4</formula>
    </cfRule>
  </conditionalFormatting>
  <conditionalFormatting sqref="T3:V301">
    <cfRule type="cellIs" dxfId="30" priority="39" operator="greaterThan">
      <formula>6</formula>
    </cfRule>
  </conditionalFormatting>
  <dataValidations count="2">
    <dataValidation type="list" allowBlank="1" showInputMessage="1" showErrorMessage="1" sqref="E2" xr:uid="{4ABDC476-6629-4C68-9027-11B5C8042B0B}">
      <formula1>"30221-302210"</formula1>
    </dataValidation>
    <dataValidation type="list" allowBlank="1" showInputMessage="1" showErrorMessage="1" sqref="E3:E301" xr:uid="{2AD942EC-BE8D-43B1-A7A2-CE01D6340B8B}">
      <formula1>semi</formula1>
    </dataValidation>
  </dataValidations>
  <pageMargins left="0.25" right="0.25" top="0.75" bottom="0.75" header="0" footer="0"/>
  <pageSetup paperSize="9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495639003DE4EAC9E76D5770E45B9" ma:contentTypeVersion="3" ma:contentTypeDescription="Create a new document." ma:contentTypeScope="" ma:versionID="6cc981cb576d6a2702701326049dab04">
  <xsd:schema xmlns:xsd="http://www.w3.org/2001/XMLSchema" xmlns:xs="http://www.w3.org/2001/XMLSchema" xmlns:p="http://schemas.microsoft.com/office/2006/metadata/properties" xmlns:ns2="b6647f2f-c06d-496b-aeae-9d29354a09ae" targetNamespace="http://schemas.microsoft.com/office/2006/metadata/properties" ma:root="true" ma:fieldsID="be7ebfdca5648d1668299aa05cf0f1d6" ns2:_="">
    <xsd:import namespace="b6647f2f-c06d-496b-aeae-9d29354a0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47f2f-c06d-496b-aeae-9d29354a09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F521C4-9939-4D94-A575-0A2773067A57}"/>
</file>

<file path=customXml/itemProps2.xml><?xml version="1.0" encoding="utf-8"?>
<ds:datastoreItem xmlns:ds="http://schemas.openxmlformats.org/officeDocument/2006/customXml" ds:itemID="{353D4EA7-8599-4239-AEB1-45C496728D70}"/>
</file>

<file path=customXml/itemProps3.xml><?xml version="1.0" encoding="utf-8"?>
<ds:datastoreItem xmlns:ds="http://schemas.openxmlformats.org/officeDocument/2006/customXml" ds:itemID="{6CB8F468-DE4C-4B30-ABAA-98D0CD71D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Amalia Raica</cp:lastModifiedBy>
  <cp:revision/>
  <dcterms:created xsi:type="dcterms:W3CDTF">2022-01-31T12:52:19Z</dcterms:created>
  <dcterms:modified xsi:type="dcterms:W3CDTF">2026-06-24T20:53:19Z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2024-02-23T22:09:46Z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d6a2e626-0a51-4799-af54-cd49cf379303</vt:lpwstr>
  </property>
  <property fmtid="{D5CDD505-2E9C-101B-9397-08002B2CF9AE}" pid="8" name="MSIP_Label_5b58b62f-6f94-46bd-8089-18e64b0a9abb_ContentBits">
    <vt:lpwstr>0</vt:lpwstr>
  </property>
  <property fmtid="{D5CDD505-2E9C-101B-9397-08002B2CF9AE}" pid="9" name="ContentTypeId">
    <vt:lpwstr>0x010100E25495639003DE4EAC9E76D5770E45B9</vt:lpwstr>
  </property>
</Properties>
</file>